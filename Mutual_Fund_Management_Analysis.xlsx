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tu 2026\Codebasics\"/>
    </mc:Choice>
  </mc:AlternateContent>
  <xr:revisionPtr revIDLastSave="0" documentId="13_ncr:10000001_{C374A634-D7C1-4CEF-893A-6007F102BF27}" xr6:coauthVersionLast="47" xr6:coauthVersionMax="47" xr10:uidLastSave="{00000000-0000-0000-0000-000000000000}"/>
  <bookViews>
    <workbookView xWindow="-108" yWindow="-108" windowWidth="23256" windowHeight="12456" firstSheet="10" activeTab="11" xr2:uid="{5515E435-E9AA-444F-A141-7D18C44BF6F2}"/>
  </bookViews>
  <sheets>
    <sheet name="Investors" sheetId="1" r:id="rId1"/>
    <sheet name="AMC" sheetId="2" r:id="rId2"/>
    <sheet name="FundCategory" sheetId="3" r:id="rId3"/>
    <sheet name="Pivot_Category" sheetId="17" r:id="rId4"/>
    <sheet name="MutualFunds" sheetId="4" r:id="rId5"/>
    <sheet name="Pivot_Investor" sheetId="14" r:id="rId6"/>
    <sheet name="Pivot_Fund" sheetId="15" r:id="rId7"/>
    <sheet name="Pivot_TransactionType" sheetId="16" r:id="rId8"/>
    <sheet name="Transactions" sheetId="5" r:id="rId9"/>
    <sheet name="Excel_Analysis" sheetId="7" r:id="rId10"/>
    <sheet name="Investor_Analysis" sheetId="8" r:id="rId11"/>
    <sheet name="Fund_Analysis" sheetId="9" r:id="rId12"/>
    <sheet name="AMC_Analysis" sheetId="10" r:id="rId13"/>
    <sheet name="Dashboard" sheetId="20" r:id="rId14"/>
    <sheet name="Transaction_Analysis" sheetId="13" r:id="rId15"/>
    <sheet name="Category_Analysis" sheetId="11" r:id="rId16"/>
  </sheets>
  <calcPr calcId="191029"/>
  <pivotCaches>
    <pivotCache cacheId="0" r:id="rId17"/>
    <pivotCache cacheId="1" r:id="rId18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8" l="1"/>
  <c r="E11" i="8"/>
  <c r="E5" i="8"/>
  <c r="E9" i="8"/>
  <c r="E3" i="8"/>
  <c r="E10" i="8"/>
  <c r="E8" i="8"/>
  <c r="E6" i="8"/>
  <c r="E4" i="8"/>
  <c r="C12" i="8"/>
  <c r="E2" i="8"/>
  <c r="C3" i="8"/>
  <c r="C4" i="8"/>
  <c r="C5" i="8"/>
  <c r="C6" i="8"/>
  <c r="C7" i="8"/>
  <c r="C8" i="8"/>
  <c r="C9" i="8"/>
  <c r="C10" i="8"/>
  <c r="C11" i="8"/>
  <c r="B3" i="8"/>
  <c r="B4" i="8"/>
  <c r="B5" i="8"/>
  <c r="B6" i="8"/>
  <c r="B7" i="8"/>
  <c r="B8" i="8"/>
  <c r="B9" i="8"/>
  <c r="B10" i="8"/>
  <c r="B11" i="8"/>
  <c r="B2" i="8"/>
  <c r="C2" i="8"/>
  <c r="C3" i="10"/>
  <c r="C4" i="10"/>
  <c r="C5" i="10"/>
  <c r="C6" i="10"/>
  <c r="B2" i="10"/>
  <c r="C2" i="10"/>
  <c r="B3" i="10"/>
  <c r="B4" i="10"/>
  <c r="B5" i="10"/>
  <c r="B6" i="10"/>
  <c r="B3" i="13"/>
  <c r="B4" i="13"/>
  <c r="C3" i="13"/>
  <c r="C4" i="13"/>
  <c r="B2" i="13"/>
  <c r="C2" i="13"/>
  <c r="C3" i="11"/>
  <c r="C4" i="11"/>
  <c r="C5" i="11"/>
  <c r="C6" i="11"/>
  <c r="B2" i="11"/>
  <c r="C2" i="11"/>
  <c r="B3" i="11"/>
  <c r="B4" i="11"/>
  <c r="B5" i="11"/>
  <c r="B6" i="11"/>
  <c r="C3" i="9"/>
  <c r="C12" i="9" s="1"/>
  <c r="C4" i="9"/>
  <c r="C5" i="9"/>
  <c r="C6" i="9"/>
  <c r="C7" i="9"/>
  <c r="C8" i="9"/>
  <c r="C9" i="9"/>
  <c r="C10" i="9"/>
  <c r="C11" i="9"/>
  <c r="B2" i="9"/>
  <c r="C2" i="9"/>
  <c r="B3" i="9"/>
  <c r="B4" i="9"/>
  <c r="B5" i="9"/>
  <c r="B6" i="9"/>
  <c r="B7" i="9"/>
  <c r="B8" i="9"/>
  <c r="B9" i="9"/>
  <c r="B10" i="9"/>
  <c r="B11" i="9"/>
  <c r="B6" i="7"/>
  <c r="B7" i="7"/>
  <c r="D4" i="20" s="1"/>
  <c r="B4" i="20"/>
  <c r="H3" i="20"/>
  <c r="F3" i="20"/>
  <c r="D3" i="20"/>
  <c r="B3" i="20"/>
  <c r="B5" i="7"/>
  <c r="B4" i="7"/>
  <c r="B3" i="7"/>
  <c r="B2" i="7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2" i="4"/>
  <c r="J2" i="4"/>
  <c r="D6" i="8" l="1"/>
  <c r="C7" i="10"/>
  <c r="C7" i="11"/>
  <c r="D5" i="8" l="1"/>
  <c r="D7" i="8"/>
  <c r="D8" i="8"/>
  <c r="D10" i="8"/>
  <c r="D9" i="8"/>
  <c r="D3" i="8"/>
  <c r="D11" i="8"/>
  <c r="D4" i="8"/>
  <c r="D2" i="8"/>
</calcChain>
</file>

<file path=xl/sharedStrings.xml><?xml version="1.0" encoding="utf-8"?>
<sst xmlns="http://schemas.openxmlformats.org/spreadsheetml/2006/main" count="194" uniqueCount="136">
  <si>
    <t>InvestorID</t>
  </si>
  <si>
    <t>FullName</t>
  </si>
  <si>
    <t>Email</t>
  </si>
  <si>
    <t>PhoneNumber</t>
  </si>
  <si>
    <t>PANNumber</t>
  </si>
  <si>
    <t>DateofBirth</t>
  </si>
  <si>
    <t>City</t>
  </si>
  <si>
    <t>State</t>
  </si>
  <si>
    <t>RegistrationDate</t>
  </si>
  <si>
    <t>Kumar Utkarsh</t>
  </si>
  <si>
    <t>utkarsh@gmail.com</t>
  </si>
  <si>
    <t>ABCDE1234F</t>
  </si>
  <si>
    <t>Jamshedpur</t>
  </si>
  <si>
    <t>Jharkhand</t>
  </si>
  <si>
    <t>Rahul Sharma</t>
  </si>
  <si>
    <t>rahul@gmail.com</t>
  </si>
  <si>
    <t>BCDEF2345G</t>
  </si>
  <si>
    <t>Delhi</t>
  </si>
  <si>
    <t>Aman Verma</t>
  </si>
  <si>
    <t>aman@gmail.com</t>
  </si>
  <si>
    <t>CDEFG3456H</t>
  </si>
  <si>
    <t>Lucknow</t>
  </si>
  <si>
    <t>Uttar Pradesh</t>
  </si>
  <si>
    <t>Priya Singh</t>
  </si>
  <si>
    <t>priya@gmail.com</t>
  </si>
  <si>
    <t>DEFGH4567J</t>
  </si>
  <si>
    <t>Mumbai</t>
  </si>
  <si>
    <t>Maharashtra</t>
  </si>
  <si>
    <t>Sneha Gupta</t>
  </si>
  <si>
    <t>sneha@gmail.com</t>
  </si>
  <si>
    <t>EFGHI5678K</t>
  </si>
  <si>
    <t>Kolkata</t>
  </si>
  <si>
    <t>West Bengal</t>
  </si>
  <si>
    <t>Rohit Kumar</t>
  </si>
  <si>
    <t>rohit@gmail.com</t>
  </si>
  <si>
    <t>FGHIJ6789L</t>
  </si>
  <si>
    <t>Patna</t>
  </si>
  <si>
    <t>Bihar</t>
  </si>
  <si>
    <t>Anjali Mishra</t>
  </si>
  <si>
    <t>anjali@gmail.com</t>
  </si>
  <si>
    <t>GHIJK7890M</t>
  </si>
  <si>
    <t>Bhopal</t>
  </si>
  <si>
    <t>Madhya Pradesh</t>
  </si>
  <si>
    <t>Keshav Anand</t>
  </si>
  <si>
    <t>keshav@gmail.com</t>
  </si>
  <si>
    <t>HIJKL8901N</t>
  </si>
  <si>
    <t>Kanpur</t>
  </si>
  <si>
    <t>Vivek Sinha</t>
  </si>
  <si>
    <t>vivek@gmail.com</t>
  </si>
  <si>
    <t>IJKLM9012P</t>
  </si>
  <si>
    <t>Ranchi</t>
  </si>
  <si>
    <t>Neha Kapoor</t>
  </si>
  <si>
    <t>neha@gmail.com</t>
  </si>
  <si>
    <t>JKLMN0123Q</t>
  </si>
  <si>
    <t>Chandigarh</t>
  </si>
  <si>
    <t>AMCID</t>
  </si>
  <si>
    <t>AMCName</t>
  </si>
  <si>
    <t>Headquarters</t>
  </si>
  <si>
    <t>FoundedYear</t>
  </si>
  <si>
    <t>Website</t>
  </si>
  <si>
    <t>SBI Mutual Fund</t>
  </si>
  <si>
    <t>sbimf.com</t>
  </si>
  <si>
    <t>HDFC Mutual Fund</t>
  </si>
  <si>
    <t>hdfcfund.com</t>
  </si>
  <si>
    <t>ICICI Prudential Mutual Fund</t>
  </si>
  <si>
    <t>icicipruamc.com</t>
  </si>
  <si>
    <t>Nippon India Mutual Fund</t>
  </si>
  <si>
    <t>nipponindiamf.com</t>
  </si>
  <si>
    <t>Axis Mutual Fund</t>
  </si>
  <si>
    <t>axismf.com</t>
  </si>
  <si>
    <t>CategoryID</t>
  </si>
  <si>
    <t>CategoryName</t>
  </si>
  <si>
    <t>RiskLevel</t>
  </si>
  <si>
    <t>Description</t>
  </si>
  <si>
    <t>Equity</t>
  </si>
  <si>
    <t>High</t>
  </si>
  <si>
    <t>Invests mainly in stocks</t>
  </si>
  <si>
    <t>Debt</t>
  </si>
  <si>
    <t>Low</t>
  </si>
  <si>
    <t>Invests in fixed income securities</t>
  </si>
  <si>
    <t>Hybrid</t>
  </si>
  <si>
    <t>Medium</t>
  </si>
  <si>
    <t>Mix of equity and debt</t>
  </si>
  <si>
    <t>Index</t>
  </si>
  <si>
    <t>Tracks a market index</t>
  </si>
  <si>
    <t>ELSS</t>
  </si>
  <si>
    <t>Tax saving mutual fund</t>
  </si>
  <si>
    <t>FundID</t>
  </si>
  <si>
    <t>FundName</t>
  </si>
  <si>
    <t>LaunchDate</t>
  </si>
  <si>
    <t>MinimumInvestment</t>
  </si>
  <si>
    <t>ExpenseRatio</t>
  </si>
  <si>
    <t>ExitLoad</t>
  </si>
  <si>
    <t>CurrentNAV</t>
  </si>
  <si>
    <t>SBI Bluechip Fund</t>
  </si>
  <si>
    <t>SBI Small Cap Fund</t>
  </si>
  <si>
    <t>HDFC Flexi Cap Fund</t>
  </si>
  <si>
    <t>ICICI Prudential Bluechip Fund</t>
  </si>
  <si>
    <t>Nippon India Large Cap Fund</t>
  </si>
  <si>
    <t>Axis ELSS Tax Saver Fund</t>
  </si>
  <si>
    <t>HDFC Corporate Bond Fund</t>
  </si>
  <si>
    <t>TransactionID</t>
  </si>
  <si>
    <t>TransactionType</t>
  </si>
  <si>
    <t>Amount</t>
  </si>
  <si>
    <t>UnitsPurchased</t>
  </si>
  <si>
    <t>NAVAtTransaction</t>
  </si>
  <si>
    <t>TransactionDate</t>
  </si>
  <si>
    <t>BUY</t>
  </si>
  <si>
    <t>KPI</t>
  </si>
  <si>
    <t>Total Investors</t>
  </si>
  <si>
    <t>Total Mutual Funds</t>
  </si>
  <si>
    <t>Total Transactions</t>
  </si>
  <si>
    <t>Total Investment</t>
  </si>
  <si>
    <t>Average Investment</t>
  </si>
  <si>
    <t>Highest Investment</t>
  </si>
  <si>
    <t>Value</t>
  </si>
  <si>
    <t>ICICI Prudential Balanced Advantage Fund</t>
  </si>
  <si>
    <t>Nippon India Index Fund</t>
  </si>
  <si>
    <t>Axis Hybrid Fund</t>
  </si>
  <si>
    <t>Investor Name</t>
  </si>
  <si>
    <t>Fund Name</t>
  </si>
  <si>
    <t>AMC Name</t>
  </si>
  <si>
    <t>Total</t>
  </si>
  <si>
    <t>Category Name</t>
  </si>
  <si>
    <t>Investment %</t>
  </si>
  <si>
    <t>Rank</t>
  </si>
  <si>
    <t>Transaction Type</t>
  </si>
  <si>
    <t>Number of Transactions</t>
  </si>
  <si>
    <t>SELL</t>
  </si>
  <si>
    <t>SIP</t>
  </si>
  <si>
    <t>Total Amount</t>
  </si>
  <si>
    <t>Row Labels</t>
  </si>
  <si>
    <t>Grand Total</t>
  </si>
  <si>
    <t>Sum of Amount</t>
  </si>
  <si>
    <t>Sum of Total Investment</t>
  </si>
  <si>
    <t>MUTUAL FUND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</si>
</sst>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  <numFmt numFmtId="165" formatCode="_ &quot;₹&quot;\ * #,##0_ ;_ &quot;₹&quot;\ * \-#,##0_ ;_ &quot;₹&quot;\ * &quot;-&quot;??_ ;_ @_ "/>
    <numFmt numFmtId="166" formatCode="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1"/>
      <color theme="8" tint="0.7999816888943144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2" borderId="1" xfId="0" applyNumberFormat="1" applyFill="1" applyBorder="1"/>
    <xf numFmtId="14" fontId="0" fillId="0" borderId="1" xfId="0" applyNumberFormat="1" applyBorder="1"/>
    <xf numFmtId="0" fontId="2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0" fillId="0" borderId="0" xfId="0" pivotButton="1"/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left" indent="3"/>
    </xf>
    <xf numFmtId="0" fontId="0" fillId="0" borderId="2" xfId="0" applyBorder="1"/>
    <xf numFmtId="165" fontId="0" fillId="0" borderId="2" xfId="0" applyNumberFormat="1" applyBorder="1" applyAlignment="1">
      <alignment horizontal="left" indent="6"/>
    </xf>
    <xf numFmtId="165" fontId="0" fillId="0" borderId="2" xfId="1" applyNumberFormat="1" applyFont="1" applyBorder="1" applyAlignment="1">
      <alignment horizontal="left" indent="7"/>
    </xf>
    <xf numFmtId="0" fontId="5" fillId="0" borderId="0" xfId="0" applyFont="1" applyAlignment="1">
      <alignment horizontal="center"/>
    </xf>
    <xf numFmtId="164" fontId="0" fillId="0" borderId="0" xfId="1" applyNumberFormat="1" applyFont="1" applyAlignment="1">
      <alignment horizontal="left" indent="15"/>
    </xf>
    <xf numFmtId="165" fontId="0" fillId="0" borderId="0" xfId="1" applyNumberFormat="1" applyFont="1" applyAlignment="1">
      <alignment horizontal="left" indent="15"/>
    </xf>
    <xf numFmtId="165" fontId="0" fillId="0" borderId="0" xfId="1" applyNumberFormat="1" applyFont="1" applyAlignment="1">
      <alignment horizontal="left" indent="16"/>
    </xf>
    <xf numFmtId="0" fontId="6" fillId="4" borderId="0" xfId="0" applyFont="1" applyFill="1"/>
    <xf numFmtId="0" fontId="2" fillId="5" borderId="0" xfId="0" applyFont="1" applyFill="1"/>
    <xf numFmtId="0" fontId="7" fillId="6" borderId="0" xfId="0" applyFont="1" applyFill="1"/>
    <xf numFmtId="165" fontId="0" fillId="0" borderId="0" xfId="1" applyNumberFormat="1" applyFont="1" applyAlignment="1">
      <alignment horizontal="left" vertical="center" wrapText="1" indent="4"/>
    </xf>
    <xf numFmtId="165" fontId="0" fillId="0" borderId="0" xfId="1" applyNumberFormat="1" applyFont="1" applyAlignment="1">
      <alignment horizontal="left" vertical="center" wrapText="1" indent="6"/>
    </xf>
    <xf numFmtId="165" fontId="4" fillId="0" borderId="0" xfId="1" applyNumberFormat="1" applyFont="1" applyAlignment="1">
      <alignment horizontal="left" indent="6"/>
    </xf>
    <xf numFmtId="0" fontId="4" fillId="0" borderId="0" xfId="0" applyFont="1" applyAlignment="1">
      <alignment horizontal="center"/>
    </xf>
    <xf numFmtId="0" fontId="8" fillId="0" borderId="0" xfId="0" applyFont="1"/>
    <xf numFmtId="165" fontId="8" fillId="0" borderId="0" xfId="1" applyNumberFormat="1" applyFont="1" applyAlignment="1">
      <alignment horizontal="left" indent="6"/>
    </xf>
    <xf numFmtId="0" fontId="2" fillId="0" borderId="0" xfId="0" applyFont="1" applyAlignment="1">
      <alignment vertical="center" wrapText="1"/>
    </xf>
    <xf numFmtId="0" fontId="2" fillId="7" borderId="0" xfId="0" applyFont="1" applyFill="1"/>
    <xf numFmtId="0" fontId="0" fillId="5" borderId="0" xfId="0" applyFont="1" applyFill="1" applyAlignment="1">
      <alignment horizontal="center"/>
    </xf>
    <xf numFmtId="166" fontId="0" fillId="5" borderId="0" xfId="0" applyNumberFormat="1" applyFont="1" applyFill="1" applyAlignment="1">
      <alignment horizontal="center"/>
    </xf>
    <xf numFmtId="165" fontId="0" fillId="5" borderId="0" xfId="1" applyNumberFormat="1" applyFont="1" applyFill="1" applyAlignment="1">
      <alignment horizontal="left" indent="6"/>
    </xf>
    <xf numFmtId="165" fontId="2" fillId="7" borderId="0" xfId="1" applyNumberFormat="1" applyFont="1" applyFill="1" applyAlignment="1">
      <alignment horizontal="left" indent="6"/>
    </xf>
    <xf numFmtId="165" fontId="2" fillId="0" borderId="0" xfId="1" applyNumberFormat="1" applyFont="1" applyAlignment="1">
      <alignment horizontal="left" vertical="center" wrapText="1" indent="6"/>
    </xf>
  </cellXfs>
  <cellStyles count="2">
    <cellStyle name="Currency" xfId="1" builtinId="4"/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&quot;₹&quot;\ * #,##0_ ;_ &quot;₹&quot;\ * \-#,##0_ ;_ &quot;₹&quot;\ * &quot;-&quot;??_ ;_ @_ "/>
      <fill>
        <patternFill patternType="solid">
          <fgColor indexed="64"/>
          <bgColor theme="2" tint="-9.9978637043366805E-2"/>
        </patternFill>
      </fill>
      <alignment horizontal="left" vertical="bottom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_ &quot;₹&quot;\ * #,##0_ ;_ &quot;₹&quot;\ * \-#,##0_ ;_ &quot;₹&quot;\ * &quot;-&quot;??_ ;_ @_ "/>
      <alignment horizontal="left" vertical="center" textRotation="0" wrapText="1" relativeIndent="-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5" formatCode="_ &quot;₹&quot;\ * #,##0_ ;_ &quot;₹&quot;\ * \-#,##0_ ;_ &quot;₹&quot;\ * &quot;-&quot;??_ ;_ @_ "/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numFmt numFmtId="165" formatCode="_ &quot;₹&quot;\ * #,##0_ ;_ &quot;₹&quot;\ * \-#,##0_ ;_ &quot;₹&quot;\ * &quot;-&quot;??_ ;_ @_ "/>
      <alignment horizontal="left" vertical="center" textRotation="0" wrapText="1" relativeIndent="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0.79998168889431442"/>
        <name val="Calibri"/>
        <family val="2"/>
        <scheme val="minor"/>
      </font>
      <fill>
        <patternFill patternType="solid">
          <fgColor indexed="64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[Mutual_Fund_Management_Analysis.xlsx]Pivot_Category!PivotTable4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Pivot_Category!$A$4:$A$9</c:f>
              <c:strCache>
                <c:ptCount val="5"/>
                <c:pt idx="0">
                  <c:v>Debt</c:v>
                </c:pt>
                <c:pt idx="1">
                  <c:v>ELSS</c:v>
                </c:pt>
                <c:pt idx="2">
                  <c:v>Equity</c:v>
                </c:pt>
                <c:pt idx="3">
                  <c:v>Hybrid</c:v>
                </c:pt>
                <c:pt idx="4">
                  <c:v>Index</c:v>
                </c:pt>
              </c:strCache>
            </c:strRef>
          </c:cat>
          <c:val>
            <c:numRef>
              <c:f>Pivot_Category!$B$4:$B$9</c:f>
              <c:numCache>
                <c:formatCode>General</c:formatCode>
                <c:ptCount val="5"/>
                <c:pt idx="0">
                  <c:v>12000</c:v>
                </c:pt>
                <c:pt idx="1">
                  <c:v>3000</c:v>
                </c:pt>
                <c:pt idx="2">
                  <c:v>39000</c:v>
                </c:pt>
                <c:pt idx="3">
                  <c:v>22000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5-4A64-A3E9-FCD78E9D6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680640"/>
        <c:axId val="545680280"/>
      </c:barChart>
      <c:catAx>
        <c:axId val="54568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80280"/>
        <c:crosses val="autoZero"/>
        <c:auto val="1"/>
        <c:lblAlgn val="ctr"/>
        <c:lblOffset val="100"/>
        <c:noMultiLvlLbl val="0"/>
      </c:catAx>
      <c:valAx>
        <c:axId val="54568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8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[Mutual_Fund_Management_Analysis.xlsx]Pivot_Investor!PivotTable1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Pivot_Investor!$B$3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Pivot_Investor!$A$4:$A$14</c:f>
              <c:strCache>
                <c:ptCount val="10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</c:strCache>
            </c:strRef>
          </c:cat>
          <c:val>
            <c:numRef>
              <c:f>Pivot_Investor!$B$4:$B$14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3000</c:v>
                </c:pt>
                <c:pt idx="3">
                  <c:v>15000</c:v>
                </c:pt>
                <c:pt idx="4">
                  <c:v>8000</c:v>
                </c:pt>
                <c:pt idx="5">
                  <c:v>6000</c:v>
                </c:pt>
                <c:pt idx="6">
                  <c:v>12000</c:v>
                </c:pt>
                <c:pt idx="7">
                  <c:v>10000</c:v>
                </c:pt>
                <c:pt idx="8">
                  <c:v>5000</c:v>
                </c:pt>
                <c:pt idx="9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2-42CD-8748-D5E106099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678808"/>
        <c:axId val="547673768"/>
      </c:barChart>
      <c:catAx>
        <c:axId val="54767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73768"/>
        <c:crosses val="autoZero"/>
        <c:auto val="1"/>
        <c:lblAlgn val="ctr"/>
        <c:lblOffset val="100"/>
        <c:noMultiLvlLbl val="0"/>
      </c:catAx>
      <c:valAx>
        <c:axId val="54767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7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[Mutual_Fund_Management_Analysis.xlsx]Pivot_Fund!PivotTable2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Pivot_Fund!$B$3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Pivot_Fund!$A$4:$A$14</c:f>
              <c:strCach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strCache>
            </c:strRef>
          </c:cat>
          <c:val>
            <c:numRef>
              <c:f>Pivot_Fund!$B$4:$B$14</c:f>
              <c:numCache>
                <c:formatCode>General</c:formatCode>
                <c:ptCount val="10"/>
                <c:pt idx="0">
                  <c:v>5000</c:v>
                </c:pt>
                <c:pt idx="1">
                  <c:v>8000</c:v>
                </c:pt>
                <c:pt idx="2">
                  <c:v>10000</c:v>
                </c:pt>
                <c:pt idx="3">
                  <c:v>10000</c:v>
                </c:pt>
                <c:pt idx="4">
                  <c:v>6000</c:v>
                </c:pt>
                <c:pt idx="5">
                  <c:v>3000</c:v>
                </c:pt>
                <c:pt idx="6">
                  <c:v>12000</c:v>
                </c:pt>
                <c:pt idx="7">
                  <c:v>15000</c:v>
                </c:pt>
                <c:pt idx="8">
                  <c:v>5000</c:v>
                </c:pt>
                <c:pt idx="9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0-4F26-A417-19EA216F4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684208"/>
        <c:axId val="547683488"/>
      </c:barChart>
      <c:catAx>
        <c:axId val="54768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83488"/>
        <c:crosses val="autoZero"/>
        <c:auto val="1"/>
        <c:lblAlgn val="ctr"/>
        <c:lblOffset val="100"/>
        <c:noMultiLvlLbl val="0"/>
      </c:catAx>
      <c:valAx>
        <c:axId val="5476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8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AMC_Analysis!$C$1</c:f>
              <c:strCache>
                <c:ptCount val="1"/>
                <c:pt idx="0">
                  <c:v>Total Investment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AMC_Analysis!$A$2:$B$6</c:f>
              <c:multiLvlStrCache>
                <c:ptCount val="5"/>
                <c:lvl>
                  <c:pt idx="0">
                    <c:v>SBI Mutual Fund</c:v>
                  </c:pt>
                  <c:pt idx="1">
                    <c:v>HDFC Mutual Fund</c:v>
                  </c:pt>
                  <c:pt idx="2">
                    <c:v>ICICI Prudential Mutual Fund</c:v>
                  </c:pt>
                  <c:pt idx="3">
                    <c:v>Nippon India Mutual Fund</c:v>
                  </c:pt>
                  <c:pt idx="4">
                    <c:v>Axis Mutual Fund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AMC_Analysis!$C$2:$C$6</c:f>
              <c:numCache>
                <c:formatCode>General</c:formatCode>
                <c:ptCount val="5"/>
                <c:pt idx="0">
                  <c:v>13000</c:v>
                </c:pt>
                <c:pt idx="1">
                  <c:v>22000</c:v>
                </c:pt>
                <c:pt idx="2">
                  <c:v>25000</c:v>
                </c:pt>
                <c:pt idx="3">
                  <c:v>11000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6-4E46-BD37-40B4B270D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460424"/>
        <c:axId val="916456464"/>
      </c:barChart>
      <c:catAx>
        <c:axId val="91646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456464"/>
        <c:crosses val="autoZero"/>
        <c:auto val="1"/>
        <c:lblAlgn val="ctr"/>
        <c:lblOffset val="100"/>
        <c:noMultiLvlLbl val="0"/>
      </c:catAx>
      <c:valAx>
        <c:axId val="9164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460424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[Mutual_Fund_Management_Analysis.xlsx]Pivot_Category!PivotTable4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Investment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Pivot_Category!$A$4:$A$9</c:f>
              <c:strCache>
                <c:ptCount val="5"/>
                <c:pt idx="0">
                  <c:v>Debt</c:v>
                </c:pt>
                <c:pt idx="1">
                  <c:v>ELSS</c:v>
                </c:pt>
                <c:pt idx="2">
                  <c:v>Equity</c:v>
                </c:pt>
                <c:pt idx="3">
                  <c:v>Hybrid</c:v>
                </c:pt>
                <c:pt idx="4">
                  <c:v>Index</c:v>
                </c:pt>
              </c:strCache>
            </c:strRef>
          </c:cat>
          <c:val>
            <c:numRef>
              <c:f>Pivot_Category!$B$4:$B$9</c:f>
              <c:numCache>
                <c:formatCode>General</c:formatCode>
                <c:ptCount val="5"/>
                <c:pt idx="0">
                  <c:v>12000</c:v>
                </c:pt>
                <c:pt idx="1">
                  <c:v>3000</c:v>
                </c:pt>
                <c:pt idx="2">
                  <c:v>39000</c:v>
                </c:pt>
                <c:pt idx="3">
                  <c:v>22000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F-4706-9520-DE7D57E40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680640"/>
        <c:axId val="545680280"/>
      </c:barChart>
      <c:catAx>
        <c:axId val="54568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80280"/>
        <c:crosses val="autoZero"/>
        <c:auto val="1"/>
        <c:lblAlgn val="ctr"/>
        <c:lblOffset val="100"/>
        <c:noMultiLvlLbl val="0"/>
      </c:catAx>
      <c:valAx>
        <c:axId val="54568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8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Investment by AMC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AMC_Analysis!$C$1</c:f>
              <c:strCache>
                <c:ptCount val="1"/>
                <c:pt idx="0">
                  <c:v>Total Investment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AMC_Analysis!$A$2:$B$6</c:f>
              <c:multiLvlStrCache>
                <c:ptCount val="5"/>
                <c:lvl>
                  <c:pt idx="0">
                    <c:v>SBI Mutual Fund</c:v>
                  </c:pt>
                  <c:pt idx="1">
                    <c:v>HDFC Mutual Fund</c:v>
                  </c:pt>
                  <c:pt idx="2">
                    <c:v>ICICI Prudential Mutual Fund</c:v>
                  </c:pt>
                  <c:pt idx="3">
                    <c:v>Nippon India Mutual Fund</c:v>
                  </c:pt>
                  <c:pt idx="4">
                    <c:v>Axis Mutual Fund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</c:lvl>
              </c:multiLvlStrCache>
            </c:multiLvlStrRef>
          </c:cat>
          <c:val>
            <c:numRef>
              <c:f>AMC_Analysis!$C$2:$C$6</c:f>
              <c:numCache>
                <c:formatCode>General</c:formatCode>
                <c:ptCount val="5"/>
                <c:pt idx="0">
                  <c:v>13000</c:v>
                </c:pt>
                <c:pt idx="1">
                  <c:v>22000</c:v>
                </c:pt>
                <c:pt idx="2">
                  <c:v>25000</c:v>
                </c:pt>
                <c:pt idx="3">
                  <c:v>11000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0-4630-9C17-FEE082DB1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460424"/>
        <c:axId val="916456464"/>
      </c:barChart>
      <c:catAx>
        <c:axId val="91646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456464"/>
        <c:crosses val="autoZero"/>
        <c:auto val="1"/>
        <c:lblAlgn val="ctr"/>
        <c:lblOffset val="100"/>
        <c:noMultiLvlLbl val="0"/>
      </c:catAx>
      <c:valAx>
        <c:axId val="9164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460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[Mutual_Fund_Management_Analysis.xlsx]Pivot_Fund!PivotTable2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Investment by Fund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Pivot_Fund!$B$3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Pivot_Fund!$A$4:$A$14</c:f>
              <c:strCach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strCache>
            </c:strRef>
          </c:cat>
          <c:val>
            <c:numRef>
              <c:f>Pivot_Fund!$B$4:$B$14</c:f>
              <c:numCache>
                <c:formatCode>General</c:formatCode>
                <c:ptCount val="10"/>
                <c:pt idx="0">
                  <c:v>5000</c:v>
                </c:pt>
                <c:pt idx="1">
                  <c:v>8000</c:v>
                </c:pt>
                <c:pt idx="2">
                  <c:v>10000</c:v>
                </c:pt>
                <c:pt idx="3">
                  <c:v>10000</c:v>
                </c:pt>
                <c:pt idx="4">
                  <c:v>6000</c:v>
                </c:pt>
                <c:pt idx="5">
                  <c:v>3000</c:v>
                </c:pt>
                <c:pt idx="6">
                  <c:v>12000</c:v>
                </c:pt>
                <c:pt idx="7">
                  <c:v>15000</c:v>
                </c:pt>
                <c:pt idx="8">
                  <c:v>5000</c:v>
                </c:pt>
                <c:pt idx="9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E-419D-8017-335DAC6A3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684208"/>
        <c:axId val="547683488"/>
      </c:barChart>
      <c:catAx>
        <c:axId val="54768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83488"/>
        <c:crosses val="autoZero"/>
        <c:auto val="1"/>
        <c:lblAlgn val="ctr"/>
        <c:lblOffset val="100"/>
        <c:noMultiLvlLbl val="0"/>
      </c:catAx>
      <c:valAx>
        <c:axId val="5476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8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[Mutual_Fund_Management_Analysis.xlsx]Pivot_Investor!PivotTable1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Investment by Investor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Pivot_Investor!$B$3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Pivot_Investor!$A$4:$A$14</c:f>
              <c:strCache>
                <c:ptCount val="10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</c:strCache>
            </c:strRef>
          </c:cat>
          <c:val>
            <c:numRef>
              <c:f>Pivot_Investor!$B$4:$B$14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3000</c:v>
                </c:pt>
                <c:pt idx="3">
                  <c:v>15000</c:v>
                </c:pt>
                <c:pt idx="4">
                  <c:v>8000</c:v>
                </c:pt>
                <c:pt idx="5">
                  <c:v>6000</c:v>
                </c:pt>
                <c:pt idx="6">
                  <c:v>12000</c:v>
                </c:pt>
                <c:pt idx="7">
                  <c:v>10000</c:v>
                </c:pt>
                <c:pt idx="8">
                  <c:v>5000</c:v>
                </c:pt>
                <c:pt idx="9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0-4BC1-902D-908E11FCC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678808"/>
        <c:axId val="547673768"/>
      </c:barChart>
      <c:catAx>
        <c:axId val="54767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73768"/>
        <c:crosses val="autoZero"/>
        <c:auto val="1"/>
        <c:lblAlgn val="ctr"/>
        <c:lblOffset val="100"/>
        <c:noMultiLvlLbl val="0"/>
      </c:catAx>
      <c:valAx>
        <c:axId val="54767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7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</xdr:rowOff>
    </xdr:from>
    <xdr:to>
      <xdr:col>10</xdr:col>
      <xdr:colOff>312420</xdr:colOff>
      <xdr:row>17</xdr:row>
      <xdr:rowOff>11430</xdr:rowOff>
    </xdr:to>
    <xdr:graphicFrame macro="">
      <xdr:nvGraphicFramePr>
        <xdr:cNvPr id="2" name="Investment by Category">
          <a:extLst>
            <a:ext uri="{FF2B5EF4-FFF2-40B4-BE49-F238E27FC236}">
              <a16:creationId xmlns:a16="http://schemas.microsoft.com/office/drawing/2014/main" id="{5172D48D-2B00-3860-3574-974B9A949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179070</xdr:rowOff>
    </xdr:from>
    <xdr:to>
      <xdr:col>12</xdr:col>
      <xdr:colOff>7620</xdr:colOff>
      <xdr:row>15</xdr:row>
      <xdr:rowOff>152400</xdr:rowOff>
    </xdr:to>
    <xdr:graphicFrame macro="">
      <xdr:nvGraphicFramePr>
        <xdr:cNvPr id="2" name="Investment by Investor">
          <a:extLst>
            <a:ext uri="{FF2B5EF4-FFF2-40B4-BE49-F238E27FC236}">
              <a16:creationId xmlns:a16="http://schemas.microsoft.com/office/drawing/2014/main" id="{1323D04D-47EA-D68F-AA5A-CE03B2C8E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171450</xdr:rowOff>
    </xdr:from>
    <xdr:to>
      <xdr:col>11</xdr:col>
      <xdr:colOff>281940</xdr:colOff>
      <xdr:row>16</xdr:row>
      <xdr:rowOff>171450</xdr:rowOff>
    </xdr:to>
    <xdr:graphicFrame macro="">
      <xdr:nvGraphicFramePr>
        <xdr:cNvPr id="2" name="Investment by Fund">
          <a:extLst>
            <a:ext uri="{FF2B5EF4-FFF2-40B4-BE49-F238E27FC236}">
              <a16:creationId xmlns:a16="http://schemas.microsoft.com/office/drawing/2014/main" id="{90DDDA9E-262C-2C6B-62CE-BE98FA776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179070</xdr:rowOff>
    </xdr:from>
    <xdr:to>
      <xdr:col>12</xdr:col>
      <xdr:colOff>289560</xdr:colOff>
      <xdr:row>15</xdr:row>
      <xdr:rowOff>179070</xdr:rowOff>
    </xdr:to>
    <xdr:graphicFrame macro="">
      <xdr:nvGraphicFramePr>
        <xdr:cNvPr id="2" name="Investment by AMC">
          <a:extLst>
            <a:ext uri="{FF2B5EF4-FFF2-40B4-BE49-F238E27FC236}">
              <a16:creationId xmlns:a16="http://schemas.microsoft.com/office/drawing/2014/main" id="{417A6CCF-742F-3F99-9491-4EA0791A4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</xdr:colOff>
      <xdr:row>4</xdr:row>
      <xdr:rowOff>0</xdr:rowOff>
    </xdr:from>
    <xdr:to>
      <xdr:col>5</xdr:col>
      <xdr:colOff>593650</xdr:colOff>
      <xdr:row>20</xdr:row>
      <xdr:rowOff>8860</xdr:rowOff>
    </xdr:to>
    <xdr:graphicFrame macro="">
      <xdr:nvGraphicFramePr>
        <xdr:cNvPr id="2" name="Investment by Category">
          <a:extLst>
            <a:ext uri="{FF2B5EF4-FFF2-40B4-BE49-F238E27FC236}">
              <a16:creationId xmlns:a16="http://schemas.microsoft.com/office/drawing/2014/main" id="{A08B7125-5C2E-4BC5-A871-4471EC362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26050</xdr:colOff>
      <xdr:row>3</xdr:row>
      <xdr:rowOff>186069</xdr:rowOff>
    </xdr:from>
    <xdr:to>
      <xdr:col>12</xdr:col>
      <xdr:colOff>17720</xdr:colOff>
      <xdr:row>20</xdr:row>
      <xdr:rowOff>44302</xdr:rowOff>
    </xdr:to>
    <xdr:graphicFrame macro="">
      <xdr:nvGraphicFramePr>
        <xdr:cNvPr id="3" name="Investment by AMC">
          <a:extLst>
            <a:ext uri="{FF2B5EF4-FFF2-40B4-BE49-F238E27FC236}">
              <a16:creationId xmlns:a16="http://schemas.microsoft.com/office/drawing/2014/main" id="{7C02EC49-D0DE-4D2A-8805-C756B1016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11873</xdr:rowOff>
    </xdr:from>
    <xdr:to>
      <xdr:col>6</xdr:col>
      <xdr:colOff>26582</xdr:colOff>
      <xdr:row>37</xdr:row>
      <xdr:rowOff>26581</xdr:rowOff>
    </xdr:to>
    <xdr:graphicFrame macro="">
      <xdr:nvGraphicFramePr>
        <xdr:cNvPr id="4" name="Investment by Fund">
          <a:extLst>
            <a:ext uri="{FF2B5EF4-FFF2-40B4-BE49-F238E27FC236}">
              <a16:creationId xmlns:a16="http://schemas.microsoft.com/office/drawing/2014/main" id="{0196EBB6-59F0-4DDB-A21F-F2588EF4C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44304</xdr:colOff>
      <xdr:row>21</xdr:row>
      <xdr:rowOff>8861</xdr:rowOff>
    </xdr:from>
    <xdr:to>
      <xdr:col>12</xdr:col>
      <xdr:colOff>17721</xdr:colOff>
      <xdr:row>37</xdr:row>
      <xdr:rowOff>35442</xdr:rowOff>
    </xdr:to>
    <xdr:graphicFrame macro="">
      <xdr:nvGraphicFramePr>
        <xdr:cNvPr id="5" name="Investment by Investor">
          <a:extLst>
            <a:ext uri="{FF2B5EF4-FFF2-40B4-BE49-F238E27FC236}">
              <a16:creationId xmlns:a16="http://schemas.microsoft.com/office/drawing/2014/main" id="{474135C6-3736-421B-9E31-9BCFEF0E4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" refreshedDate="46254.073845833336" createdVersion="8" refreshedVersion="8" minRefreshableVersion="3" recordCount="10" xr:uid="{A058F8AA-FD89-4C5A-87C1-F90DA13D3E01}">
  <cacheSource type="worksheet">
    <worksheetSource name="Table10"/>
  </cacheSource>
  <cacheFields count="8">
    <cacheField name="TransactionID" numFmtId="0">
      <sharedItems containsSemiMixedTypes="0" containsString="0" containsNumber="1" containsInteger="1" minValue="3001" maxValue="3010" count="10">
        <n v="3001"/>
        <n v="3002"/>
        <n v="3003"/>
        <n v="3004"/>
        <n v="3005"/>
        <n v="3006"/>
        <n v="3007"/>
        <n v="3008"/>
        <n v="3009"/>
        <n v="3010"/>
      </sharedItems>
    </cacheField>
    <cacheField name="InvestorID" numFmtId="0">
      <sharedItems containsSemiMixedTypes="0" containsString="0" containsNumber="1" containsInteger="1" minValue="1001" maxValue="1010" count="10">
        <n v="1001"/>
        <n v="1002"/>
        <n v="1003"/>
        <n v="1004"/>
        <n v="1005"/>
        <n v="1006"/>
        <n v="1007"/>
        <n v="1008"/>
        <n v="1009"/>
        <n v="1010"/>
      </sharedItems>
    </cacheField>
    <cacheField name="FundID" numFmtId="0">
      <sharedItems containsSemiMixedTypes="0" containsString="0" containsNumber="1" containsInteger="1" minValue="2001" maxValue="2010" count="10">
        <n v="2001"/>
        <n v="2003"/>
        <n v="2006"/>
        <n v="2008"/>
        <n v="2002"/>
        <n v="2005"/>
        <n v="2007"/>
        <n v="2004"/>
        <n v="2009"/>
        <n v="2010"/>
      </sharedItems>
    </cacheField>
    <cacheField name="TransactionType" numFmtId="0">
      <sharedItems count="1">
        <s v="BUY"/>
      </sharedItems>
    </cacheField>
    <cacheField name="Amount" numFmtId="0">
      <sharedItems containsSemiMixedTypes="0" containsString="0" containsNumber="1" containsInteger="1" minValue="3000" maxValue="15000"/>
    </cacheField>
    <cacheField name="UnitsPurchased" numFmtId="0">
      <sharedItems containsSemiMixedTypes="0" containsString="0" containsNumber="1" minValue="6.87" maxValue="346.82"/>
    </cacheField>
    <cacheField name="NAVAtTransaction" numFmtId="0">
      <sharedItems containsSemiMixedTypes="0" containsString="0" containsNumber="1" minValue="24.5" maxValue="1456.2"/>
    </cacheField>
    <cacheField name="TransactionDate" numFmtId="14">
      <sharedItems containsSemiMixedTypes="0" containsNonDate="0" containsDate="1" containsString="0" minDate="2026-08-03T00:00:00" maxDate="2026-08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" refreshedDate="46254.122907175923" createdVersion="8" refreshedVersion="8" minRefreshableVersion="3" recordCount="10" xr:uid="{D74FE15D-C8A3-47AC-AF17-E1C495840A6D}">
  <cacheSource type="worksheet">
    <worksheetSource name="Table9"/>
  </cacheSource>
  <cacheFields count="11">
    <cacheField name="FundID" numFmtId="0">
      <sharedItems containsSemiMixedTypes="0" containsString="0" containsNumber="1" containsInteger="1" minValue="2001" maxValue="2010"/>
    </cacheField>
    <cacheField name="FundName" numFmtId="0">
      <sharedItems/>
    </cacheField>
    <cacheField name="AMCID" numFmtId="0">
      <sharedItems containsSemiMixedTypes="0" containsString="0" containsNumber="1" containsInteger="1" minValue="101" maxValue="105"/>
    </cacheField>
    <cacheField name="CategoryID" numFmtId="0">
      <sharedItems containsSemiMixedTypes="0" containsString="0" containsNumber="1" containsInteger="1" minValue="1" maxValue="5" count="5">
        <n v="1"/>
        <n v="5"/>
        <n v="2"/>
        <n v="3"/>
        <n v="4"/>
      </sharedItems>
    </cacheField>
    <cacheField name="LaunchDate" numFmtId="14">
      <sharedItems containsSemiMixedTypes="0" containsNonDate="0" containsDate="1" containsString="0" minDate="1995-01-01T00:00:00" maxDate="2019-04-02T00:00:00"/>
    </cacheField>
    <cacheField name="MinimumInvestment" numFmtId="0">
      <sharedItems containsSemiMixedTypes="0" containsString="0" containsNumber="1" containsInteger="1" minValue="100" maxValue="1000"/>
    </cacheField>
    <cacheField name="ExpenseRatio" numFmtId="0">
      <sharedItems containsSemiMixedTypes="0" containsString="0" containsNumber="1" minValue="0.3" maxValue="0.95"/>
    </cacheField>
    <cacheField name="ExitLoad" numFmtId="0">
      <sharedItems containsSemiMixedTypes="0" containsString="0" containsNumber="1" containsInteger="1" minValue="0" maxValue="1"/>
    </cacheField>
    <cacheField name="CurrentNAV" numFmtId="0">
      <sharedItems containsSemiMixedTypes="0" containsString="0" containsNumber="1" minValue="24.5" maxValue="1456.2"/>
    </cacheField>
    <cacheField name="Total Investment" numFmtId="0">
      <sharedItems containsSemiMixedTypes="0" containsString="0" containsNumber="1" containsInteger="1" minValue="3000" maxValue="15000"/>
    </cacheField>
    <cacheField name="Category Name" numFmtId="0">
      <sharedItems count="5">
        <s v="Equity"/>
        <s v="ELSS"/>
        <s v="Debt"/>
        <s v="Hybrid"/>
        <s v="In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5000"/>
    <n v="52.38"/>
    <n v="95.45"/>
    <d v="2026-08-03T00:00:00"/>
  </r>
  <r>
    <x v="1"/>
    <x v="1"/>
    <x v="1"/>
    <x v="0"/>
    <n v="10000"/>
    <n v="6.87"/>
    <n v="1456.2"/>
    <d v="2026-08-03T00:00:00"/>
  </r>
  <r>
    <x v="2"/>
    <x v="2"/>
    <x v="2"/>
    <x v="0"/>
    <n v="3000"/>
    <n v="43.83"/>
    <n v="68.45"/>
    <d v="2026-08-03T00:00:00"/>
  </r>
  <r>
    <x v="3"/>
    <x v="3"/>
    <x v="3"/>
    <x v="0"/>
    <n v="15000"/>
    <n v="254.45"/>
    <n v="58.95"/>
    <d v="2026-08-03T00:00:00"/>
  </r>
  <r>
    <x v="4"/>
    <x v="4"/>
    <x v="4"/>
    <x v="0"/>
    <n v="8000"/>
    <n v="44.79"/>
    <n v="178.6"/>
    <d v="2026-08-03T00:00:00"/>
  </r>
  <r>
    <x v="5"/>
    <x v="5"/>
    <x v="5"/>
    <x v="0"/>
    <n v="6000"/>
    <n v="72.900000000000006"/>
    <n v="82.3"/>
    <d v="2026-08-03T00:00:00"/>
  </r>
  <r>
    <x v="6"/>
    <x v="6"/>
    <x v="6"/>
    <x v="0"/>
    <n v="12000"/>
    <n v="346.82"/>
    <n v="34.6"/>
    <d v="2026-08-03T00:00:00"/>
  </r>
  <r>
    <x v="7"/>
    <x v="7"/>
    <x v="7"/>
    <x v="0"/>
    <n v="10000"/>
    <n v="88.69"/>
    <n v="112.75"/>
    <d v="2026-08-03T00:00:00"/>
  </r>
  <r>
    <x v="8"/>
    <x v="8"/>
    <x v="8"/>
    <x v="0"/>
    <n v="5000"/>
    <n v="204.08"/>
    <n v="24.5"/>
    <d v="2026-08-03T00:00:00"/>
  </r>
  <r>
    <x v="9"/>
    <x v="9"/>
    <x v="9"/>
    <x v="0"/>
    <n v="7000"/>
    <n v="167.46"/>
    <n v="41.8"/>
    <d v="2026-08-03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01"/>
    <s v="SBI Bluechip Fund"/>
    <n v="101"/>
    <x v="0"/>
    <d v="2010-02-14T00:00:00"/>
    <n v="500"/>
    <n v="0.85"/>
    <n v="1"/>
    <n v="95.45"/>
    <n v="5000"/>
    <x v="0"/>
  </r>
  <r>
    <n v="2002"/>
    <s v="SBI Small Cap Fund"/>
    <n v="101"/>
    <x v="0"/>
    <d v="2009-09-15T00:00:00"/>
    <n v="500"/>
    <n v="0.95"/>
    <n v="1"/>
    <n v="178.6"/>
    <n v="8000"/>
    <x v="0"/>
  </r>
  <r>
    <n v="2003"/>
    <s v="HDFC Flexi Cap Fund"/>
    <n v="102"/>
    <x v="0"/>
    <d v="1995-01-01T00:00:00"/>
    <n v="100"/>
    <n v="0.8"/>
    <n v="1"/>
    <n v="1456.2"/>
    <n v="10000"/>
    <x v="0"/>
  </r>
  <r>
    <n v="2004"/>
    <s v="ICICI Prudential Bluechip Fund"/>
    <n v="103"/>
    <x v="0"/>
    <d v="2008-05-19T00:00:00"/>
    <n v="100"/>
    <n v="0.89"/>
    <n v="1"/>
    <n v="112.75"/>
    <n v="10000"/>
    <x v="0"/>
  </r>
  <r>
    <n v="2005"/>
    <s v="Nippon India Large Cap Fund"/>
    <n v="104"/>
    <x v="0"/>
    <d v="2007-08-08T00:00:00"/>
    <n v="500"/>
    <n v="0.9"/>
    <n v="1"/>
    <n v="82.3"/>
    <n v="6000"/>
    <x v="0"/>
  </r>
  <r>
    <n v="2006"/>
    <s v="Axis ELSS Tax Saver Fund"/>
    <n v="105"/>
    <x v="1"/>
    <d v="2009-12-29T00:00:00"/>
    <n v="500"/>
    <n v="0.74"/>
    <n v="0"/>
    <n v="68.45"/>
    <n v="3000"/>
    <x v="1"/>
  </r>
  <r>
    <n v="2007"/>
    <s v="HDFC Corporate Bond Fund"/>
    <n v="102"/>
    <x v="2"/>
    <d v="2002-03-10T00:00:00"/>
    <n v="1000"/>
    <n v="0.55000000000000004"/>
    <n v="0"/>
    <n v="34.6"/>
    <n v="12000"/>
    <x v="2"/>
  </r>
  <r>
    <n v="2008"/>
    <s v="ICICI Prudential Balanced Advantage Fund"/>
    <n v="103"/>
    <x v="3"/>
    <d v="2006-12-30T00:00:00"/>
    <n v="1000"/>
    <n v="0.72"/>
    <n v="1"/>
    <n v="58.95"/>
    <n v="15000"/>
    <x v="3"/>
  </r>
  <r>
    <n v="2009"/>
    <s v="Nippon India Index Fund"/>
    <n v="104"/>
    <x v="4"/>
    <d v="2019-04-01T00:00:00"/>
    <n v="100"/>
    <n v="0.3"/>
    <n v="0"/>
    <n v="24.5"/>
    <n v="5000"/>
    <x v="4"/>
  </r>
  <r>
    <n v="2010"/>
    <s v="Axis Hybrid Fund"/>
    <n v="105"/>
    <x v="3"/>
    <d v="2012-11-20T00:00:00"/>
    <n v="500"/>
    <n v="0.68"/>
    <n v="1"/>
    <n v="41.8"/>
    <n v="7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7CEBC-3C9D-49FD-A91C-90637F314AE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1">
    <pivotField showAll="0"/>
    <pivotField showAll="0"/>
    <pivotField showAll="0"/>
    <pivotField showAll="0">
      <items count="6">
        <item x="0"/>
        <item x="2"/>
        <item x="3"/>
        <item x="4"/>
        <item x="1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Investme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67E04-043F-4BBA-BC08-EB168DFC781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8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showAll="0"/>
    <pivotField showAll="0"/>
    <pivotField numFmtId="14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6EE7A-ADFE-4866-83A9-E5B971D8D30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8">
    <pivotField showAll="0"/>
    <pivotField showAll="0"/>
    <pivotField axis="axisRow" showAll="0">
      <items count="11">
        <item x="0"/>
        <item x="4"/>
        <item x="1"/>
        <item x="7"/>
        <item x="5"/>
        <item x="2"/>
        <item x="6"/>
        <item x="3"/>
        <item x="8"/>
        <item x="9"/>
        <item t="default"/>
      </items>
    </pivotField>
    <pivotField showAll="0"/>
    <pivotField dataField="1" showAll="0"/>
    <pivotField showAll="0"/>
    <pivotField showAll="0"/>
    <pivotField numFmtId="14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16740-748A-48C4-B8DE-828E051E6D3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" firstHeaderRow="1" firstDataRow="1" firstDataCol="1"/>
  <pivotFields count="8">
    <pivotField showAll="0"/>
    <pivotField showAll="0"/>
    <pivotField showAll="0"/>
    <pivotField axis="axisRow" showAll="0">
      <items count="2">
        <item x="0"/>
        <item t="default"/>
      </items>
    </pivotField>
    <pivotField dataField="1" showAll="0"/>
    <pivotField showAll="0"/>
    <pivotField showAll="0"/>
    <pivotField numFmtId="14"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FCE9D0-49C5-47B6-82B7-DF940592219F}" name="Table7" displayName="Table7" ref="A1:I11" totalsRowShown="0" headerRowDxfId="63" tableBorderDxfId="62">
  <autoFilter ref="A1:I11" xr:uid="{3FFCE9D0-49C5-47B6-82B7-DF940592219F}"/>
  <tableColumns count="9">
    <tableColumn id="1" xr3:uid="{341085B1-BEC7-451A-8874-D1BCD19A308F}" name="InvestorID" dataDxfId="61"/>
    <tableColumn id="2" xr3:uid="{02DB7084-BC85-40DE-8773-3158044FA976}" name="FullName" dataDxfId="60"/>
    <tableColumn id="3" xr3:uid="{B65A713A-1AB2-442A-ABC7-00EDDCD2D7EA}" name="Email" dataDxfId="59"/>
    <tableColumn id="4" xr3:uid="{BA3AF59F-8E4D-4A46-8784-66D13274F547}" name="PhoneNumber" dataDxfId="58"/>
    <tableColumn id="5" xr3:uid="{FEE8C682-4B8A-444A-A285-75564B462131}" name="PANNumber" dataDxfId="57"/>
    <tableColumn id="6" xr3:uid="{AB972B26-7605-4D06-B158-7D7C21F8E265}" name="DateofBirth" dataDxfId="56"/>
    <tableColumn id="7" xr3:uid="{54AD13DC-BBB4-4899-BCB3-847298F0862A}" name="City" dataDxfId="55"/>
    <tableColumn id="8" xr3:uid="{9517FC05-045F-4102-8858-3F8EEDD9B5D9}" name="State" dataDxfId="54"/>
    <tableColumn id="9" xr3:uid="{A769581A-376E-4A5F-8D49-E7613ABBB6C2}" name="RegistrationDate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77C3C7-3A98-4536-BE88-480C8F68182C}" name="Table6" displayName="Table6" ref="A1:E6" totalsRowShown="0" headerRowDxfId="52">
  <autoFilter ref="A1:E6" xr:uid="{8A77C3C7-3A98-4536-BE88-480C8F68182C}"/>
  <tableColumns count="5">
    <tableColumn id="1" xr3:uid="{A07D7BB0-E6B4-4220-8D96-C6CCF8446139}" name="AMCID" dataDxfId="51"/>
    <tableColumn id="2" xr3:uid="{D86098FB-886D-48A8-A47C-9C5DFA5E0576}" name="AMCName"/>
    <tableColumn id="3" xr3:uid="{F145C587-4A5B-4AF0-ADBD-D9BB0CB7054D}" name="Headquarters"/>
    <tableColumn id="4" xr3:uid="{48E37477-61B8-4135-A9E5-EBA5F9AB3E55}" name="FoundedYear" dataDxfId="50"/>
    <tableColumn id="5" xr3:uid="{E95C32A7-1C52-40CD-A9F2-C910F07A66D7}" name="Websi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C5884F-5FF2-452D-8432-1D5D8749E4BC}" name="Table8" displayName="Table8" ref="A1:D6" totalsRowShown="0" headerRowDxfId="27">
  <autoFilter ref="A1:D6" xr:uid="{89C5884F-5FF2-452D-8432-1D5D8749E4BC}"/>
  <tableColumns count="4">
    <tableColumn id="1" xr3:uid="{42D21A3E-4779-4242-BA6F-2AF78851ED04}" name="CategoryID" dataDxfId="49"/>
    <tableColumn id="2" xr3:uid="{3CE9E686-67EB-4103-9F79-1DF254072F9B}" name="CategoryName"/>
    <tableColumn id="3" xr3:uid="{789C351A-1131-4421-A80E-AB2C1697CBF7}" name="RiskLevel"/>
    <tableColumn id="4" xr3:uid="{88142103-1CFF-4F04-8434-5FF028EA61B5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BE1B25-9392-4895-AC1F-70150EECD518}" name="Table9" displayName="Table9" ref="A1:K11" totalsRowShown="0" dataDxfId="48">
  <autoFilter ref="A1:K11" xr:uid="{8BBE1B25-9392-4895-AC1F-70150EECD518}"/>
  <tableColumns count="11">
    <tableColumn id="1" xr3:uid="{89603A57-C405-42AD-9BEA-271932EE1605}" name="FundID" dataDxfId="47"/>
    <tableColumn id="2" xr3:uid="{0388A613-6495-4ABD-901C-1C7816F8F1A9}" name="FundName"/>
    <tableColumn id="3" xr3:uid="{8607295E-960A-49A5-A20E-14E3FF950F05}" name="AMCID" dataDxfId="46"/>
    <tableColumn id="4" xr3:uid="{93A1FEA9-039F-4EAA-88C8-823D9D572DF1}" name="CategoryID" dataDxfId="45"/>
    <tableColumn id="5" xr3:uid="{BF31BB2B-5DF7-4E2A-8541-498191B8F7C5}" name="LaunchDate" dataDxfId="44"/>
    <tableColumn id="6" xr3:uid="{10E7893A-C36A-4ADB-8716-C7198877F761}" name="MinimumInvestment" dataDxfId="43"/>
    <tableColumn id="7" xr3:uid="{85D885B3-F77A-441A-9C51-723660C79E79}" name="ExpenseRatio" dataDxfId="42"/>
    <tableColumn id="8" xr3:uid="{F9BF2CEE-17D8-473D-B193-0F82D216E5D2}" name="ExitLoad" dataDxfId="41"/>
    <tableColumn id="9" xr3:uid="{0E25D634-5E68-4C88-8F77-925640515728}" name="CurrentNAV" dataDxfId="40"/>
    <tableColumn id="10" xr3:uid="{7BBC3C54-2C82-42FD-88F4-E7B07AE0FB79}" name="Total Investment" dataDxfId="39">
      <calculatedColumnFormula>SUMIF(Transactions!C:C,A2,Transactions!E:E)</calculatedColumnFormula>
    </tableColumn>
    <tableColumn id="11" xr3:uid="{D0379F61-46C8-430C-B827-AEB5F32AC59E}" name="Category Name" dataDxfId="38">
      <calculatedColumnFormula>VLOOKUP(D2,FundCategory!A:B,2,FALSE)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590518-55B8-4340-9472-913268CAB8CB}" name="Table10" displayName="Table10" ref="A1:H11" totalsRowShown="0" dataDxfId="37">
  <autoFilter ref="A1:H11" xr:uid="{28590518-55B8-4340-9472-913268CAB8CB}"/>
  <tableColumns count="8">
    <tableColumn id="1" xr3:uid="{C79A5BF6-3329-440D-ABB1-5874B6568789}" name="TransactionID" dataDxfId="36"/>
    <tableColumn id="2" xr3:uid="{2EC62E34-6829-424F-83A1-DAE3B9ACFDF1}" name="InvestorID" dataDxfId="35"/>
    <tableColumn id="3" xr3:uid="{87E977FA-8FFF-4789-90A3-A8180B230192}" name="FundID" dataDxfId="34"/>
    <tableColumn id="4" xr3:uid="{E2F8D6F5-A1F6-4452-AE08-8F937AC1AE14}" name="TransactionType" dataDxfId="33"/>
    <tableColumn id="5" xr3:uid="{A2F33B11-4259-4BEE-AEE1-F9D7F3ECF24E}" name="Amount" dataDxfId="32"/>
    <tableColumn id="6" xr3:uid="{AED3275B-F540-45ED-AB78-04D386AD1489}" name="UnitsPurchased" dataDxfId="31"/>
    <tableColumn id="7" xr3:uid="{23D3007A-49E3-4164-99D1-C4C4186AEE79}" name="NAVAtTransaction" dataDxfId="30"/>
    <tableColumn id="8" xr3:uid="{E50A16FD-FFDA-4FB6-BCC3-B330E3EBEF7D}" name="TransactionDate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24A09D-A5DB-452F-AE9E-04DE45212DBB}" name="Table11" displayName="Table11" ref="A1:B7" totalsRowShown="0" headerRowDxfId="28">
  <autoFilter ref="A1:B7" xr:uid="{DC24A09D-A5DB-452F-AE9E-04DE45212DBB}"/>
  <tableColumns count="2">
    <tableColumn id="1" xr3:uid="{932D3205-D29F-4BB7-9E64-4F7C34620A7E}" name="KPI"/>
    <tableColumn id="2" xr3:uid="{41FAC1E3-9089-4F2B-BB2E-78C0701ED0D6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409B9-E5B0-402D-8ED9-958F6C3F9A9C}" name="Table1" displayName="Table1" ref="A1:E11" totalsRowShown="0" headerRowDxfId="6" dataDxfId="5">
  <autoFilter ref="A1:E11" xr:uid="{5D8409B9-E5B0-402D-8ED9-958F6C3F9A9C}"/>
  <tableColumns count="5">
    <tableColumn id="1" xr3:uid="{C14E45A3-C312-4BC1-8FB9-AC1DC7769707}" name="InvestorID" dataDxfId="4"/>
    <tableColumn id="2" xr3:uid="{27F9A0FF-5BC9-4EBB-A6F2-B29E1E29D22A}" name="Investor Name" dataDxfId="3"/>
    <tableColumn id="3" xr3:uid="{9BE041AB-0961-4668-A427-3F93EFFA46E8}" name="Total Investment" dataDxfId="2" dataCellStyle="Currency"/>
    <tableColumn id="4" xr3:uid="{42E5FA29-F559-4198-8C41-E6B8354AC7B0}" name="Investment %" dataDxfId="1"/>
    <tableColumn id="5" xr3:uid="{F823E1AC-D474-4D2C-ACBA-7FA46D24908E}" name="Rank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659A28-8FEA-49BF-B684-41AB386A8562}" name="Table3" displayName="Table3" ref="A1:C12" totalsRowShown="0" headerRowDxfId="24" dataDxfId="25">
  <autoFilter ref="A1:C12" xr:uid="{7D659A28-8FEA-49BF-B684-41AB386A8562}"/>
  <tableColumns count="3">
    <tableColumn id="1" xr3:uid="{1A26B730-7BBE-45E3-98E9-A709D18C2769}" name="FundID" dataDxfId="26"/>
    <tableColumn id="2" xr3:uid="{29A53478-A270-4B24-9656-489DB883138A}" name="Fund Name" dataDxfId="23"/>
    <tableColumn id="3" xr3:uid="{D48F39F0-D2D4-444E-A7A6-94FB5A62EAF5}" name="Total Investment" dataDxfId="22" dataCellStyle="Currenc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254306-D607-4616-A592-94242BDEDC91}" name="Table13" displayName="Table13" ref="A1:C7" totalsRowShown="0" headerRowDxfId="9" dataDxfId="10">
  <autoFilter ref="A1:C7" xr:uid="{37254306-D607-4616-A592-94242BDEDC91}"/>
  <tableColumns count="3">
    <tableColumn id="1" xr3:uid="{66F125D9-6127-4004-9A67-27961D3A779D}" name="AMCID" dataDxfId="11"/>
    <tableColumn id="2" xr3:uid="{1CE6861D-1F6C-401A-A932-6AF8FB361709}" name="AMC Name" dataDxfId="7"/>
    <tableColumn id="3" xr3:uid="{153438B6-12D9-4BD9-B865-34702A3955DB}" name="Total Investment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FBF5B8-3A96-438F-BA9D-717B1C886BA3}" name="Table12" displayName="Table12" ref="A1:C4" totalsRowShown="0" headerRowDxfId="15" dataDxfId="16">
  <autoFilter ref="A1:C4" xr:uid="{30FBF5B8-3A96-438F-BA9D-717B1C886BA3}"/>
  <tableColumns count="3">
    <tableColumn id="1" xr3:uid="{DDF2EB51-A094-4FFD-8CC0-152EDBF14BF0}" name="Transaction Type" dataDxfId="12"/>
    <tableColumn id="2" xr3:uid="{D977153D-A464-4FA1-A90B-1541C9314635}" name="Number of Transactions" dataDxfId="13">
      <calculatedColumnFormula>COUNTIF(Transactions!D:D,A2)</calculatedColumnFormula>
    </tableColumn>
    <tableColumn id="3" xr3:uid="{8D2813D3-D5E8-4EE7-9133-BE521BDF7960}" name="Total Amount" dataDxfId="14" dataCellStyle="Currenc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E55C21-4367-4A26-95A3-BF04C411C6A1}" name="Table4" displayName="Table4" ref="A1:C7" totalsRowShown="0" headerRowDxfId="19" dataDxfId="20">
  <autoFilter ref="A1:C7" xr:uid="{58E55C21-4367-4A26-95A3-BF04C411C6A1}"/>
  <tableColumns count="3">
    <tableColumn id="1" xr3:uid="{8D9C6CC1-1F12-4C05-B50B-75A5198F5B32}" name="CategoryID" dataDxfId="21"/>
    <tableColumn id="2" xr3:uid="{659D84CD-ECE9-47E5-A58E-593220E84254}" name="Category Name" dataDxfId="18"/>
    <tableColumn id="3" xr3:uid="{41308FA0-091E-48EA-A0F2-D254CFCDEF29}" name="Total Investment" dataDxfId="17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4056-7F64-4702-A5FD-EFA3E9B39625}">
  <dimension ref="A1:I11"/>
  <sheetViews>
    <sheetView workbookViewId="0">
      <selection activeCell="D21" sqref="D21"/>
    </sheetView>
  </sheetViews>
  <sheetFormatPr defaultRowHeight="14.4"/>
  <cols>
    <col min="1" max="1" width="13.6640625" customWidth="1"/>
    <col min="2" max="2" width="14.5546875" customWidth="1"/>
    <col min="3" max="3" width="19.5546875" customWidth="1"/>
    <col min="4" max="4" width="16.77734375" customWidth="1"/>
    <col min="5" max="5" width="15.33203125" customWidth="1"/>
    <col min="6" max="6" width="15.109375" customWidth="1"/>
    <col min="7" max="7" width="11.33203125" customWidth="1"/>
    <col min="8" max="8" width="12.33203125" customWidth="1"/>
    <col min="9" max="9" width="17.33203125" customWidth="1"/>
  </cols>
  <sheetData>
    <row r="1" spans="1:9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0" t="s">
        <v>7</v>
      </c>
      <c r="I1" s="20" t="s">
        <v>8</v>
      </c>
    </row>
    <row r="2" spans="1:9">
      <c r="A2" s="15">
        <v>1001</v>
      </c>
      <c r="B2" s="8" t="s">
        <v>9</v>
      </c>
      <c r="C2" s="8" t="s">
        <v>10</v>
      </c>
      <c r="D2" s="8">
        <v>9123195802</v>
      </c>
      <c r="E2" s="9" t="s">
        <v>11</v>
      </c>
      <c r="F2" s="10">
        <v>38283</v>
      </c>
      <c r="G2" s="11" t="s">
        <v>12</v>
      </c>
      <c r="H2" s="8" t="s">
        <v>13</v>
      </c>
      <c r="I2" s="17">
        <v>46237</v>
      </c>
    </row>
    <row r="3" spans="1:9">
      <c r="A3" s="16">
        <v>1002</v>
      </c>
      <c r="B3" s="12" t="s">
        <v>14</v>
      </c>
      <c r="C3" s="12" t="s">
        <v>15</v>
      </c>
      <c r="D3" s="12">
        <v>9876543211</v>
      </c>
      <c r="E3" s="13" t="s">
        <v>16</v>
      </c>
      <c r="F3" s="14">
        <v>35930</v>
      </c>
      <c r="G3" s="12" t="s">
        <v>17</v>
      </c>
      <c r="H3" s="12" t="s">
        <v>17</v>
      </c>
      <c r="I3" s="18">
        <v>46237</v>
      </c>
    </row>
    <row r="4" spans="1:9">
      <c r="A4" s="15">
        <v>1003</v>
      </c>
      <c r="B4" s="8" t="s">
        <v>18</v>
      </c>
      <c r="C4" s="8" t="s">
        <v>19</v>
      </c>
      <c r="D4" s="8">
        <v>9876543212</v>
      </c>
      <c r="E4" s="9" t="s">
        <v>20</v>
      </c>
      <c r="F4" s="10">
        <v>36392</v>
      </c>
      <c r="G4" s="8" t="s">
        <v>21</v>
      </c>
      <c r="H4" s="8" t="s">
        <v>22</v>
      </c>
      <c r="I4" s="17">
        <v>46237</v>
      </c>
    </row>
    <row r="5" spans="1:9">
      <c r="A5" s="16">
        <v>1004</v>
      </c>
      <c r="B5" s="12" t="s">
        <v>23</v>
      </c>
      <c r="C5" s="12" t="s">
        <v>24</v>
      </c>
      <c r="D5" s="12">
        <v>9876543213</v>
      </c>
      <c r="E5" s="13" t="s">
        <v>25</v>
      </c>
      <c r="F5" s="14">
        <v>36535</v>
      </c>
      <c r="G5" s="12" t="s">
        <v>26</v>
      </c>
      <c r="H5" s="12" t="s">
        <v>27</v>
      </c>
      <c r="I5" s="18">
        <v>46237</v>
      </c>
    </row>
    <row r="6" spans="1:9">
      <c r="A6" s="15">
        <v>1005</v>
      </c>
      <c r="B6" s="8" t="s">
        <v>28</v>
      </c>
      <c r="C6" s="8" t="s">
        <v>29</v>
      </c>
      <c r="D6" s="8">
        <v>9876543214</v>
      </c>
      <c r="E6" s="9" t="s">
        <v>30</v>
      </c>
      <c r="F6" s="10">
        <v>35514</v>
      </c>
      <c r="G6" s="8" t="s">
        <v>31</v>
      </c>
      <c r="H6" s="8" t="s">
        <v>32</v>
      </c>
      <c r="I6" s="17">
        <v>46237</v>
      </c>
    </row>
    <row r="7" spans="1:9">
      <c r="A7" s="16">
        <v>1006</v>
      </c>
      <c r="B7" s="12" t="s">
        <v>33</v>
      </c>
      <c r="C7" s="12" t="s">
        <v>34</v>
      </c>
      <c r="D7" s="12">
        <v>9876543215</v>
      </c>
      <c r="E7" s="13" t="s">
        <v>35</v>
      </c>
      <c r="F7" s="14">
        <v>35374</v>
      </c>
      <c r="G7" s="12" t="s">
        <v>36</v>
      </c>
      <c r="H7" s="12" t="s">
        <v>37</v>
      </c>
      <c r="I7" s="18">
        <v>46237</v>
      </c>
    </row>
    <row r="8" spans="1:9">
      <c r="A8" s="15">
        <v>1007</v>
      </c>
      <c r="B8" s="8" t="s">
        <v>38</v>
      </c>
      <c r="C8" s="8" t="s">
        <v>39</v>
      </c>
      <c r="D8" s="8">
        <v>9876543216</v>
      </c>
      <c r="E8" s="9" t="s">
        <v>40</v>
      </c>
      <c r="F8" s="10">
        <v>37060</v>
      </c>
      <c r="G8" s="8" t="s">
        <v>41</v>
      </c>
      <c r="H8" s="8" t="s">
        <v>42</v>
      </c>
      <c r="I8" s="17">
        <v>46237</v>
      </c>
    </row>
    <row r="9" spans="1:9">
      <c r="A9" s="16">
        <v>1008</v>
      </c>
      <c r="B9" s="12" t="s">
        <v>43</v>
      </c>
      <c r="C9" s="12" t="s">
        <v>44</v>
      </c>
      <c r="D9" s="12">
        <v>9876543217</v>
      </c>
      <c r="E9" s="13" t="s">
        <v>45</v>
      </c>
      <c r="F9" s="14">
        <v>37602</v>
      </c>
      <c r="G9" s="12" t="s">
        <v>46</v>
      </c>
      <c r="H9" s="12" t="s">
        <v>22</v>
      </c>
      <c r="I9" s="18">
        <v>46237</v>
      </c>
    </row>
    <row r="10" spans="1:9">
      <c r="A10" s="15">
        <v>1009</v>
      </c>
      <c r="B10" s="8" t="s">
        <v>47</v>
      </c>
      <c r="C10" s="8" t="s">
        <v>48</v>
      </c>
      <c r="D10" s="8">
        <v>9876543218</v>
      </c>
      <c r="E10" s="9" t="s">
        <v>49</v>
      </c>
      <c r="F10" s="10">
        <v>34972</v>
      </c>
      <c r="G10" s="8" t="s">
        <v>50</v>
      </c>
      <c r="H10" s="8" t="s">
        <v>13</v>
      </c>
      <c r="I10" s="17">
        <v>46237</v>
      </c>
    </row>
    <row r="11" spans="1:9">
      <c r="A11" s="16">
        <v>1010</v>
      </c>
      <c r="B11" s="12" t="s">
        <v>51</v>
      </c>
      <c r="C11" s="12" t="s">
        <v>52</v>
      </c>
      <c r="D11" s="12">
        <v>9876543219</v>
      </c>
      <c r="E11" s="13" t="s">
        <v>53</v>
      </c>
      <c r="F11" s="14">
        <v>36258</v>
      </c>
      <c r="G11" s="12" t="s">
        <v>54</v>
      </c>
      <c r="H11" s="12" t="s">
        <v>54</v>
      </c>
      <c r="I11" s="18">
        <v>46237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2132-6F1A-47BB-8EEA-63756E56F0FB}">
  <dimension ref="A1:E6"/>
  <sheetViews>
    <sheetView workbookViewId="0">
      <selection activeCell="E11" sqref="E11"/>
    </sheetView>
  </sheetViews>
  <sheetFormatPr defaultRowHeight="14.4"/>
  <cols>
    <col min="1" max="1" width="8.77734375" customWidth="1"/>
    <col min="2" max="2" width="27.109375" customWidth="1"/>
    <col min="3" max="3" width="14.21875" customWidth="1"/>
    <col min="4" max="4" width="14" customWidth="1"/>
    <col min="5" max="5" width="18" customWidth="1"/>
  </cols>
  <sheetData>
    <row r="1" spans="1:5">
      <c r="A1" s="3" t="s">
        <v>55</v>
      </c>
      <c r="B1" s="19" t="s">
        <v>56</v>
      </c>
      <c r="C1" s="19" t="s">
        <v>57</v>
      </c>
      <c r="D1" s="3" t="s">
        <v>58</v>
      </c>
      <c r="E1" s="19" t="s">
        <v>59</v>
      </c>
    </row>
    <row r="2" spans="1:5">
      <c r="A2" s="4">
        <v>101</v>
      </c>
      <c r="B2" t="s">
        <v>60</v>
      </c>
      <c r="C2" t="s">
        <v>26</v>
      </c>
      <c r="D2" s="4">
        <v>1987</v>
      </c>
      <c r="E2" t="s">
        <v>61</v>
      </c>
    </row>
    <row r="3" spans="1:5">
      <c r="A3" s="4">
        <v>102</v>
      </c>
      <c r="B3" t="s">
        <v>62</v>
      </c>
      <c r="C3" t="s">
        <v>26</v>
      </c>
      <c r="D3" s="4">
        <v>1999</v>
      </c>
      <c r="E3" t="s">
        <v>63</v>
      </c>
    </row>
    <row r="4" spans="1:5">
      <c r="A4" s="4">
        <v>103</v>
      </c>
      <c r="B4" t="s">
        <v>64</v>
      </c>
      <c r="C4" t="s">
        <v>26</v>
      </c>
      <c r="D4" s="4">
        <v>1993</v>
      </c>
      <c r="E4" t="s">
        <v>65</v>
      </c>
    </row>
    <row r="5" spans="1:5">
      <c r="A5" s="4">
        <v>104</v>
      </c>
      <c r="B5" t="s">
        <v>66</v>
      </c>
      <c r="C5" t="s">
        <v>26</v>
      </c>
      <c r="D5" s="4">
        <v>1995</v>
      </c>
      <c r="E5" t="s">
        <v>67</v>
      </c>
    </row>
    <row r="6" spans="1:5">
      <c r="A6" s="4">
        <v>105</v>
      </c>
      <c r="B6" t="s">
        <v>68</v>
      </c>
      <c r="C6" t="s">
        <v>26</v>
      </c>
      <c r="D6" s="4">
        <v>2009</v>
      </c>
      <c r="E6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E52E-F5BA-4285-A931-03E88D8DA68B}">
  <dimension ref="A1:D6"/>
  <sheetViews>
    <sheetView workbookViewId="0">
      <selection activeCell="G6" sqref="G6"/>
    </sheetView>
  </sheetViews>
  <sheetFormatPr defaultRowHeight="14.4"/>
  <cols>
    <col min="1" max="1" width="12.21875" customWidth="1"/>
    <col min="2" max="2" width="15.44140625" customWidth="1"/>
    <col min="3" max="3" width="10.5546875" customWidth="1"/>
    <col min="4" max="4" width="32.77734375" customWidth="1"/>
  </cols>
  <sheetData>
    <row r="1" spans="1:4">
      <c r="A1" s="34" t="s">
        <v>70</v>
      </c>
      <c r="B1" s="34" t="s">
        <v>71</v>
      </c>
      <c r="C1" s="34" t="s">
        <v>72</v>
      </c>
      <c r="D1" s="34" t="s">
        <v>73</v>
      </c>
    </row>
    <row r="2" spans="1:4">
      <c r="A2" s="4">
        <v>1</v>
      </c>
      <c r="B2" t="s">
        <v>74</v>
      </c>
      <c r="C2" t="s">
        <v>75</v>
      </c>
      <c r="D2" t="s">
        <v>76</v>
      </c>
    </row>
    <row r="3" spans="1:4">
      <c r="A3" s="4">
        <v>2</v>
      </c>
      <c r="B3" t="s">
        <v>77</v>
      </c>
      <c r="C3" t="s">
        <v>78</v>
      </c>
      <c r="D3" t="s">
        <v>79</v>
      </c>
    </row>
    <row r="4" spans="1:4">
      <c r="A4" s="4">
        <v>3</v>
      </c>
      <c r="B4" t="s">
        <v>80</v>
      </c>
      <c r="C4" t="s">
        <v>81</v>
      </c>
      <c r="D4" t="s">
        <v>82</v>
      </c>
    </row>
    <row r="5" spans="1:4">
      <c r="A5" s="4">
        <v>4</v>
      </c>
      <c r="B5" t="s">
        <v>83</v>
      </c>
      <c r="C5" t="s">
        <v>81</v>
      </c>
      <c r="D5" t="s">
        <v>84</v>
      </c>
    </row>
    <row r="6" spans="1:4">
      <c r="A6" s="4">
        <v>5</v>
      </c>
      <c r="B6" t="s">
        <v>85</v>
      </c>
      <c r="C6" t="s">
        <v>75</v>
      </c>
      <c r="D6" t="s">
        <v>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75AD-223D-4E9B-8966-B955754C76AC}">
  <dimension ref="A3:B9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22" bestFit="1" customWidth="1"/>
  </cols>
  <sheetData>
    <row r="3" spans="1:2">
      <c r="A3" s="24" t="s">
        <v>131</v>
      </c>
      <c r="B3" t="s">
        <v>134</v>
      </c>
    </row>
    <row r="4" spans="1:2">
      <c r="A4" s="5" t="s">
        <v>77</v>
      </c>
      <c r="B4">
        <v>12000</v>
      </c>
    </row>
    <row r="5" spans="1:2">
      <c r="A5" s="5" t="s">
        <v>85</v>
      </c>
      <c r="B5">
        <v>3000</v>
      </c>
    </row>
    <row r="6" spans="1:2">
      <c r="A6" s="5" t="s">
        <v>74</v>
      </c>
      <c r="B6">
        <v>39000</v>
      </c>
    </row>
    <row r="7" spans="1:2">
      <c r="A7" s="5" t="s">
        <v>80</v>
      </c>
      <c r="B7">
        <v>22000</v>
      </c>
    </row>
    <row r="8" spans="1:2">
      <c r="A8" s="5" t="s">
        <v>83</v>
      </c>
      <c r="B8">
        <v>5000</v>
      </c>
    </row>
    <row r="9" spans="1:2">
      <c r="A9" s="5" t="s">
        <v>132</v>
      </c>
      <c r="B9">
        <v>81000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5DA7-D788-4CB3-A9F5-E0256EC80AF8}">
  <dimension ref="A1:K11"/>
  <sheetViews>
    <sheetView workbookViewId="0">
      <selection activeCell="K2" sqref="K2:K11"/>
    </sheetView>
  </sheetViews>
  <sheetFormatPr defaultRowHeight="14.4"/>
  <cols>
    <col min="2" max="2" width="31.5546875" customWidth="1"/>
    <col min="4" max="4" width="12.21875" customWidth="1"/>
    <col min="5" max="5" width="13.6640625" customWidth="1"/>
    <col min="6" max="6" width="20.6640625" customWidth="1"/>
    <col min="7" max="7" width="14.6640625" customWidth="1"/>
    <col min="8" max="8" width="10" customWidth="1"/>
    <col min="9" max="9" width="13" customWidth="1"/>
    <col min="10" max="10" width="13.5546875" customWidth="1"/>
    <col min="11" max="11" width="13" customWidth="1"/>
  </cols>
  <sheetData>
    <row r="1" spans="1:11">
      <c r="A1" t="s">
        <v>87</v>
      </c>
      <c r="B1" t="s">
        <v>88</v>
      </c>
      <c r="C1" t="s">
        <v>55</v>
      </c>
      <c r="D1" t="s">
        <v>70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112</v>
      </c>
      <c r="K1" t="s">
        <v>123</v>
      </c>
    </row>
    <row r="2" spans="1:11">
      <c r="A2" s="4">
        <v>2001</v>
      </c>
      <c r="B2" t="s">
        <v>94</v>
      </c>
      <c r="C2" s="4">
        <v>101</v>
      </c>
      <c r="D2" s="4">
        <v>1</v>
      </c>
      <c r="E2" s="6">
        <v>40223</v>
      </c>
      <c r="F2" s="4">
        <v>500</v>
      </c>
      <c r="G2" s="4">
        <v>0.85</v>
      </c>
      <c r="H2" s="4">
        <v>1</v>
      </c>
      <c r="I2" s="4">
        <v>95.45</v>
      </c>
      <c r="J2" s="4">
        <f>SUMIF(Transactions!C:C,A2,Transactions!E:E)</f>
        <v>5000</v>
      </c>
      <c r="K2" s="4" t="str">
        <f>VLOOKUP(D2,FundCategory!A:B,2,FALSE)</f>
        <v>Equity</v>
      </c>
    </row>
    <row r="3" spans="1:11">
      <c r="A3" s="4">
        <v>2002</v>
      </c>
      <c r="B3" t="s">
        <v>95</v>
      </c>
      <c r="C3" s="4">
        <v>101</v>
      </c>
      <c r="D3" s="4">
        <v>1</v>
      </c>
      <c r="E3" s="6">
        <v>40071</v>
      </c>
      <c r="F3" s="4">
        <v>500</v>
      </c>
      <c r="G3" s="4">
        <v>0.95</v>
      </c>
      <c r="H3" s="4">
        <v>1</v>
      </c>
      <c r="I3" s="4">
        <v>178.6</v>
      </c>
      <c r="J3" s="4">
        <f>SUMIF(Transactions!C:C,A3,Transactions!E:E)</f>
        <v>8000</v>
      </c>
      <c r="K3" s="4" t="str">
        <f>VLOOKUP(D3,FundCategory!A:B,2,FALSE)</f>
        <v>Equity</v>
      </c>
    </row>
    <row r="4" spans="1:11">
      <c r="A4" s="4">
        <v>2003</v>
      </c>
      <c r="B4" t="s">
        <v>96</v>
      </c>
      <c r="C4" s="4">
        <v>102</v>
      </c>
      <c r="D4" s="4">
        <v>1</v>
      </c>
      <c r="E4" s="6">
        <v>34700</v>
      </c>
      <c r="F4" s="4">
        <v>100</v>
      </c>
      <c r="G4" s="4">
        <v>0.8</v>
      </c>
      <c r="H4" s="4">
        <v>1</v>
      </c>
      <c r="I4" s="4">
        <v>1456.2</v>
      </c>
      <c r="J4" s="4">
        <f>SUMIF(Transactions!C:C,A4,Transactions!E:E)</f>
        <v>10000</v>
      </c>
      <c r="K4" s="4" t="str">
        <f>VLOOKUP(D4,FundCategory!A:B,2,FALSE)</f>
        <v>Equity</v>
      </c>
    </row>
    <row r="5" spans="1:11">
      <c r="A5" s="4">
        <v>2004</v>
      </c>
      <c r="B5" t="s">
        <v>97</v>
      </c>
      <c r="C5" s="4">
        <v>103</v>
      </c>
      <c r="D5" s="4">
        <v>1</v>
      </c>
      <c r="E5" s="6">
        <v>39587</v>
      </c>
      <c r="F5" s="4">
        <v>100</v>
      </c>
      <c r="G5" s="4">
        <v>0.89</v>
      </c>
      <c r="H5" s="4">
        <v>1</v>
      </c>
      <c r="I5" s="4">
        <v>112.75</v>
      </c>
      <c r="J5" s="4">
        <f>SUMIF(Transactions!C:C,A5,Transactions!E:E)</f>
        <v>10000</v>
      </c>
      <c r="K5" s="4" t="str">
        <f>VLOOKUP(D5,FundCategory!A:B,2,FALSE)</f>
        <v>Equity</v>
      </c>
    </row>
    <row r="6" spans="1:11">
      <c r="A6" s="4">
        <v>2005</v>
      </c>
      <c r="B6" t="s">
        <v>98</v>
      </c>
      <c r="C6" s="4">
        <v>104</v>
      </c>
      <c r="D6" s="4">
        <v>1</v>
      </c>
      <c r="E6" s="6">
        <v>39302</v>
      </c>
      <c r="F6" s="4">
        <v>500</v>
      </c>
      <c r="G6" s="4">
        <v>0.9</v>
      </c>
      <c r="H6" s="4">
        <v>1</v>
      </c>
      <c r="I6" s="4">
        <v>82.3</v>
      </c>
      <c r="J6" s="4">
        <f>SUMIF(Transactions!C:C,A6,Transactions!E:E)</f>
        <v>6000</v>
      </c>
      <c r="K6" s="4" t="str">
        <f>VLOOKUP(D6,FundCategory!A:B,2,FALSE)</f>
        <v>Equity</v>
      </c>
    </row>
    <row r="7" spans="1:11">
      <c r="A7" s="4">
        <v>2006</v>
      </c>
      <c r="B7" t="s">
        <v>99</v>
      </c>
      <c r="C7" s="4">
        <v>105</v>
      </c>
      <c r="D7" s="4">
        <v>5</v>
      </c>
      <c r="E7" s="6">
        <v>40176</v>
      </c>
      <c r="F7" s="4">
        <v>500</v>
      </c>
      <c r="G7" s="4">
        <v>0.74</v>
      </c>
      <c r="H7" s="4">
        <v>0</v>
      </c>
      <c r="I7" s="4">
        <v>68.45</v>
      </c>
      <c r="J7" s="4">
        <f>SUMIF(Transactions!C:C,A7,Transactions!E:E)</f>
        <v>3000</v>
      </c>
      <c r="K7" s="4" t="str">
        <f>VLOOKUP(D7,FundCategory!A:B,2,FALSE)</f>
        <v>ELSS</v>
      </c>
    </row>
    <row r="8" spans="1:11">
      <c r="A8" s="4">
        <v>2007</v>
      </c>
      <c r="B8" t="s">
        <v>100</v>
      </c>
      <c r="C8" s="4">
        <v>102</v>
      </c>
      <c r="D8" s="4">
        <v>2</v>
      </c>
      <c r="E8" s="6">
        <v>37325</v>
      </c>
      <c r="F8" s="4">
        <v>1000</v>
      </c>
      <c r="G8" s="4">
        <v>0.55000000000000004</v>
      </c>
      <c r="H8" s="4">
        <v>0</v>
      </c>
      <c r="I8" s="4">
        <v>34.6</v>
      </c>
      <c r="J8" s="4">
        <f>SUMIF(Transactions!C:C,A8,Transactions!E:E)</f>
        <v>12000</v>
      </c>
      <c r="K8" s="4" t="str">
        <f>VLOOKUP(D8,FundCategory!A:B,2,FALSE)</f>
        <v>Debt</v>
      </c>
    </row>
    <row r="9" spans="1:11">
      <c r="A9" s="4">
        <v>2008</v>
      </c>
      <c r="B9" t="s">
        <v>116</v>
      </c>
      <c r="C9" s="4">
        <v>103</v>
      </c>
      <c r="D9" s="4">
        <v>3</v>
      </c>
      <c r="E9" s="6">
        <v>39081</v>
      </c>
      <c r="F9" s="4">
        <v>1000</v>
      </c>
      <c r="G9" s="4">
        <v>0.72</v>
      </c>
      <c r="H9" s="4">
        <v>1</v>
      </c>
      <c r="I9" s="4">
        <v>58.95</v>
      </c>
      <c r="J9" s="4">
        <f>SUMIF(Transactions!C:C,A9,Transactions!E:E)</f>
        <v>15000</v>
      </c>
      <c r="K9" s="4" t="str">
        <f>VLOOKUP(D9,FundCategory!A:B,2,FALSE)</f>
        <v>Hybrid</v>
      </c>
    </row>
    <row r="10" spans="1:11">
      <c r="A10" s="4">
        <v>2009</v>
      </c>
      <c r="B10" t="s">
        <v>117</v>
      </c>
      <c r="C10" s="4">
        <v>104</v>
      </c>
      <c r="D10" s="4">
        <v>4</v>
      </c>
      <c r="E10" s="6">
        <v>43556</v>
      </c>
      <c r="F10" s="4">
        <v>100</v>
      </c>
      <c r="G10" s="4">
        <v>0.3</v>
      </c>
      <c r="H10" s="4">
        <v>0</v>
      </c>
      <c r="I10" s="4">
        <v>24.5</v>
      </c>
      <c r="J10" s="4">
        <f>SUMIF(Transactions!C:C,A10,Transactions!E:E)</f>
        <v>5000</v>
      </c>
      <c r="K10" s="4" t="str">
        <f>VLOOKUP(D10,FundCategory!A:B,2,FALSE)</f>
        <v>Index</v>
      </c>
    </row>
    <row r="11" spans="1:11">
      <c r="A11" s="4">
        <v>2010</v>
      </c>
      <c r="B11" t="s">
        <v>118</v>
      </c>
      <c r="C11" s="4">
        <v>105</v>
      </c>
      <c r="D11" s="4">
        <v>3</v>
      </c>
      <c r="E11" s="6">
        <v>41233</v>
      </c>
      <c r="F11" s="4">
        <v>500</v>
      </c>
      <c r="G11" s="4">
        <v>0.68</v>
      </c>
      <c r="H11" s="4">
        <v>1</v>
      </c>
      <c r="I11" s="4">
        <v>41.8</v>
      </c>
      <c r="J11" s="4">
        <f>SUMIF(Transactions!C:C,A11,Transactions!E:E)</f>
        <v>7000</v>
      </c>
      <c r="K11" s="4" t="str">
        <f>VLOOKUP(D11,FundCategory!A:B,2,FALSE)</f>
        <v>Hybrid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6203-B555-438B-BBD8-3DF95DA8AB84}">
  <dimension ref="A3:B14"/>
  <sheetViews>
    <sheetView workbookViewId="0">
      <selection activeCell="B16" sqref="B16"/>
    </sheetView>
  </sheetViews>
  <sheetFormatPr defaultRowHeight="14.4"/>
  <cols>
    <col min="1" max="1" width="12.5546875" bestFit="1" customWidth="1"/>
    <col min="2" max="2" width="14.44140625" bestFit="1" customWidth="1"/>
  </cols>
  <sheetData>
    <row r="3" spans="1:2">
      <c r="A3" s="24" t="s">
        <v>131</v>
      </c>
      <c r="B3" t="s">
        <v>133</v>
      </c>
    </row>
    <row r="4" spans="1:2">
      <c r="A4" s="5">
        <v>1001</v>
      </c>
      <c r="B4">
        <v>5000</v>
      </c>
    </row>
    <row r="5" spans="1:2">
      <c r="A5" s="5">
        <v>1002</v>
      </c>
      <c r="B5">
        <v>10000</v>
      </c>
    </row>
    <row r="6" spans="1:2">
      <c r="A6" s="5">
        <v>1003</v>
      </c>
      <c r="B6">
        <v>3000</v>
      </c>
    </row>
    <row r="7" spans="1:2">
      <c r="A7" s="5">
        <v>1004</v>
      </c>
      <c r="B7">
        <v>15000</v>
      </c>
    </row>
    <row r="8" spans="1:2">
      <c r="A8" s="5">
        <v>1005</v>
      </c>
      <c r="B8">
        <v>8000</v>
      </c>
    </row>
    <row r="9" spans="1:2">
      <c r="A9" s="5">
        <v>1006</v>
      </c>
      <c r="B9">
        <v>6000</v>
      </c>
    </row>
    <row r="10" spans="1:2">
      <c r="A10" s="5">
        <v>1007</v>
      </c>
      <c r="B10">
        <v>12000</v>
      </c>
    </row>
    <row r="11" spans="1:2">
      <c r="A11" s="5">
        <v>1008</v>
      </c>
      <c r="B11">
        <v>10000</v>
      </c>
    </row>
    <row r="12" spans="1:2">
      <c r="A12" s="5">
        <v>1009</v>
      </c>
      <c r="B12">
        <v>5000</v>
      </c>
    </row>
    <row r="13" spans="1:2">
      <c r="A13" s="5">
        <v>1010</v>
      </c>
      <c r="B13">
        <v>7000</v>
      </c>
    </row>
    <row r="14" spans="1:2">
      <c r="A14" s="5" t="s">
        <v>132</v>
      </c>
      <c r="B14">
        <v>81000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C13E-E695-4690-A898-B9999C0F0405}">
  <dimension ref="A3:B14"/>
  <sheetViews>
    <sheetView workbookViewId="0">
      <selection activeCell="M6" sqref="M6"/>
    </sheetView>
  </sheetViews>
  <sheetFormatPr defaultRowHeight="14.4"/>
  <cols>
    <col min="1" max="1" width="12.5546875" bestFit="1" customWidth="1"/>
    <col min="2" max="2" width="14.44140625" bestFit="1" customWidth="1"/>
  </cols>
  <sheetData>
    <row r="3" spans="1:2">
      <c r="A3" s="24" t="s">
        <v>131</v>
      </c>
      <c r="B3" t="s">
        <v>133</v>
      </c>
    </row>
    <row r="4" spans="1:2">
      <c r="A4" s="5">
        <v>2001</v>
      </c>
      <c r="B4">
        <v>5000</v>
      </c>
    </row>
    <row r="5" spans="1:2">
      <c r="A5" s="5">
        <v>2002</v>
      </c>
      <c r="B5">
        <v>8000</v>
      </c>
    </row>
    <row r="6" spans="1:2">
      <c r="A6" s="5">
        <v>2003</v>
      </c>
      <c r="B6">
        <v>10000</v>
      </c>
    </row>
    <row r="7" spans="1:2">
      <c r="A7" s="5">
        <v>2004</v>
      </c>
      <c r="B7">
        <v>10000</v>
      </c>
    </row>
    <row r="8" spans="1:2">
      <c r="A8" s="5">
        <v>2005</v>
      </c>
      <c r="B8">
        <v>6000</v>
      </c>
    </row>
    <row r="9" spans="1:2">
      <c r="A9" s="5">
        <v>2006</v>
      </c>
      <c r="B9">
        <v>3000</v>
      </c>
    </row>
    <row r="10" spans="1:2">
      <c r="A10" s="5">
        <v>2007</v>
      </c>
      <c r="B10">
        <v>12000</v>
      </c>
    </row>
    <row r="11" spans="1:2">
      <c r="A11" s="5">
        <v>2008</v>
      </c>
      <c r="B11">
        <v>15000</v>
      </c>
    </row>
    <row r="12" spans="1:2">
      <c r="A12" s="5">
        <v>2009</v>
      </c>
      <c r="B12">
        <v>5000</v>
      </c>
    </row>
    <row r="13" spans="1:2">
      <c r="A13" s="5">
        <v>2010</v>
      </c>
      <c r="B13">
        <v>7000</v>
      </c>
    </row>
    <row r="14" spans="1:2">
      <c r="A14" s="5" t="s">
        <v>132</v>
      </c>
      <c r="B14">
        <v>81000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4CFB-CF44-4FEE-9CD1-785E96C0861D}">
  <dimension ref="A3:B5"/>
  <sheetViews>
    <sheetView workbookViewId="0">
      <selection activeCell="B4" sqref="B4"/>
    </sheetView>
  </sheetViews>
  <sheetFormatPr defaultRowHeight="14.4"/>
  <cols>
    <col min="1" max="1" width="12.5546875" bestFit="1" customWidth="1"/>
    <col min="2" max="2" width="14.44140625" bestFit="1" customWidth="1"/>
  </cols>
  <sheetData>
    <row r="3" spans="1:2">
      <c r="A3" s="24" t="s">
        <v>131</v>
      </c>
      <c r="B3" t="s">
        <v>133</v>
      </c>
    </row>
    <row r="4" spans="1:2">
      <c r="A4" s="5" t="s">
        <v>107</v>
      </c>
      <c r="B4">
        <v>81000</v>
      </c>
    </row>
    <row r="5" spans="1:2">
      <c r="A5" s="5" t="s">
        <v>132</v>
      </c>
      <c r="B5">
        <v>81000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2D3B-EC80-4F3D-A32F-725BED24E353}">
  <dimension ref="A1:H12"/>
  <sheetViews>
    <sheetView workbookViewId="0">
      <selection activeCell="A3" sqref="A3"/>
    </sheetView>
  </sheetViews>
  <sheetFormatPr defaultRowHeight="14.4"/>
  <cols>
    <col min="1" max="1" width="14.44140625" customWidth="1"/>
    <col min="2" max="2" width="11.6640625" customWidth="1"/>
    <col min="3" max="3" width="10.77734375" customWidth="1"/>
    <col min="4" max="4" width="16.77734375" customWidth="1"/>
    <col min="5" max="5" width="9.77734375" customWidth="1"/>
    <col min="6" max="6" width="16" customWidth="1"/>
    <col min="7" max="7" width="18.33203125" customWidth="1"/>
    <col min="8" max="8" width="16.5546875" customWidth="1"/>
  </cols>
  <sheetData>
    <row r="1" spans="1:8">
      <c r="A1" t="s">
        <v>101</v>
      </c>
      <c r="B1" t="s">
        <v>0</v>
      </c>
      <c r="C1" t="s">
        <v>87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</row>
    <row r="2" spans="1:8">
      <c r="A2" s="4">
        <v>3001</v>
      </c>
      <c r="B2" s="4">
        <v>1001</v>
      </c>
      <c r="C2" s="4">
        <v>2001</v>
      </c>
      <c r="D2" s="4" t="s">
        <v>107</v>
      </c>
      <c r="E2" s="4">
        <v>5000</v>
      </c>
      <c r="F2" s="4">
        <v>52.38</v>
      </c>
      <c r="G2" s="4">
        <v>95.45</v>
      </c>
      <c r="H2" s="7">
        <v>46237</v>
      </c>
    </row>
    <row r="3" spans="1:8">
      <c r="A3" s="4">
        <v>3002</v>
      </c>
      <c r="B3" s="4">
        <v>1002</v>
      </c>
      <c r="C3" s="4">
        <v>2003</v>
      </c>
      <c r="D3" s="4" t="s">
        <v>107</v>
      </c>
      <c r="E3" s="4">
        <v>10000</v>
      </c>
      <c r="F3" s="4">
        <v>6.87</v>
      </c>
      <c r="G3" s="4">
        <v>1456.2</v>
      </c>
      <c r="H3" s="7">
        <v>46237</v>
      </c>
    </row>
    <row r="4" spans="1:8">
      <c r="A4" s="4">
        <v>3003</v>
      </c>
      <c r="B4" s="4">
        <v>1003</v>
      </c>
      <c r="C4" s="4">
        <v>2006</v>
      </c>
      <c r="D4" s="4" t="s">
        <v>107</v>
      </c>
      <c r="E4" s="4">
        <v>3000</v>
      </c>
      <c r="F4" s="4">
        <v>43.83</v>
      </c>
      <c r="G4" s="4">
        <v>68.45</v>
      </c>
      <c r="H4" s="7">
        <v>46237</v>
      </c>
    </row>
    <row r="5" spans="1:8">
      <c r="A5" s="4">
        <v>3004</v>
      </c>
      <c r="B5" s="4">
        <v>1004</v>
      </c>
      <c r="C5" s="4">
        <v>2008</v>
      </c>
      <c r="D5" s="4" t="s">
        <v>107</v>
      </c>
      <c r="E5" s="4">
        <v>15000</v>
      </c>
      <c r="F5" s="4">
        <v>254.45</v>
      </c>
      <c r="G5" s="4">
        <v>58.95</v>
      </c>
      <c r="H5" s="7">
        <v>46237</v>
      </c>
    </row>
    <row r="6" spans="1:8">
      <c r="A6" s="4">
        <v>3005</v>
      </c>
      <c r="B6" s="4">
        <v>1005</v>
      </c>
      <c r="C6" s="4">
        <v>2002</v>
      </c>
      <c r="D6" s="4" t="s">
        <v>107</v>
      </c>
      <c r="E6" s="4">
        <v>8000</v>
      </c>
      <c r="F6" s="4">
        <v>44.79</v>
      </c>
      <c r="G6" s="4">
        <v>178.6</v>
      </c>
      <c r="H6" s="7">
        <v>46237</v>
      </c>
    </row>
    <row r="7" spans="1:8">
      <c r="A7" s="4">
        <v>3006</v>
      </c>
      <c r="B7" s="4">
        <v>1006</v>
      </c>
      <c r="C7" s="4">
        <v>2005</v>
      </c>
      <c r="D7" s="4" t="s">
        <v>107</v>
      </c>
      <c r="E7" s="4">
        <v>6000</v>
      </c>
      <c r="F7" s="4">
        <v>72.900000000000006</v>
      </c>
      <c r="G7" s="4">
        <v>82.3</v>
      </c>
      <c r="H7" s="7">
        <v>46237</v>
      </c>
    </row>
    <row r="8" spans="1:8">
      <c r="A8" s="4">
        <v>3007</v>
      </c>
      <c r="B8" s="4">
        <v>1007</v>
      </c>
      <c r="C8" s="4">
        <v>2007</v>
      </c>
      <c r="D8" s="4" t="s">
        <v>107</v>
      </c>
      <c r="E8" s="4">
        <v>12000</v>
      </c>
      <c r="F8" s="4">
        <v>346.82</v>
      </c>
      <c r="G8" s="4">
        <v>34.6</v>
      </c>
      <c r="H8" s="7">
        <v>46237</v>
      </c>
    </row>
    <row r="9" spans="1:8">
      <c r="A9" s="4">
        <v>3008</v>
      </c>
      <c r="B9" s="4">
        <v>1008</v>
      </c>
      <c r="C9" s="4">
        <v>2004</v>
      </c>
      <c r="D9" s="4" t="s">
        <v>107</v>
      </c>
      <c r="E9" s="4">
        <v>10000</v>
      </c>
      <c r="F9" s="4">
        <v>88.69</v>
      </c>
      <c r="G9" s="4">
        <v>112.75</v>
      </c>
      <c r="H9" s="7">
        <v>46237</v>
      </c>
    </row>
    <row r="10" spans="1:8">
      <c r="A10" s="4">
        <v>3009</v>
      </c>
      <c r="B10" s="4">
        <v>1009</v>
      </c>
      <c r="C10" s="4">
        <v>2009</v>
      </c>
      <c r="D10" s="4" t="s">
        <v>107</v>
      </c>
      <c r="E10" s="4">
        <v>5000</v>
      </c>
      <c r="F10" s="4">
        <v>204.08</v>
      </c>
      <c r="G10" s="4">
        <v>24.5</v>
      </c>
      <c r="H10" s="7">
        <v>46237</v>
      </c>
    </row>
    <row r="11" spans="1:8">
      <c r="A11" s="4">
        <v>3010</v>
      </c>
      <c r="B11" s="4">
        <v>1010</v>
      </c>
      <c r="C11" s="4">
        <v>2010</v>
      </c>
      <c r="D11" s="4" t="s">
        <v>107</v>
      </c>
      <c r="E11" s="4">
        <v>7000</v>
      </c>
      <c r="F11" s="4">
        <v>167.46</v>
      </c>
      <c r="G11" s="4">
        <v>41.8</v>
      </c>
      <c r="H11" s="7">
        <v>46237</v>
      </c>
    </row>
    <row r="12" spans="1:8">
      <c r="D12" s="4"/>
      <c r="E12" s="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29EF-37C7-42AF-A1DF-92782F9EB40B}">
  <dimension ref="A1:B7"/>
  <sheetViews>
    <sheetView workbookViewId="0">
      <selection activeCell="B7" sqref="B7"/>
    </sheetView>
  </sheetViews>
  <sheetFormatPr defaultRowHeight="14.4"/>
  <cols>
    <col min="1" max="1" width="18" customWidth="1"/>
    <col min="2" max="2" width="29.77734375" customWidth="1"/>
  </cols>
  <sheetData>
    <row r="1" spans="1:2">
      <c r="A1" s="1" t="s">
        <v>108</v>
      </c>
      <c r="B1" s="1" t="s">
        <v>115</v>
      </c>
    </row>
    <row r="2" spans="1:2">
      <c r="A2" t="s">
        <v>109</v>
      </c>
      <c r="B2">
        <f>COUNTA(Investors!A2:A13)</f>
        <v>10</v>
      </c>
    </row>
    <row r="3" spans="1:2">
      <c r="A3" t="s">
        <v>110</v>
      </c>
      <c r="B3">
        <f>COUNTA(MutualFunds!A2:A11)</f>
        <v>10</v>
      </c>
    </row>
    <row r="4" spans="1:2">
      <c r="A4" t="s">
        <v>111</v>
      </c>
      <c r="B4">
        <f>COUNTA(Transactions!A2:A11)</f>
        <v>10</v>
      </c>
    </row>
    <row r="5" spans="1:2">
      <c r="A5" t="s">
        <v>112</v>
      </c>
      <c r="B5" s="31">
        <f>SUM(Transactions!E2:E11)</f>
        <v>81000</v>
      </c>
    </row>
    <row r="6" spans="1:2">
      <c r="A6" t="s">
        <v>113</v>
      </c>
      <c r="B6" s="33">
        <f>AVERAGE(Transactions!E2:E11)</f>
        <v>8100</v>
      </c>
    </row>
    <row r="7" spans="1:2">
      <c r="A7" t="s">
        <v>114</v>
      </c>
      <c r="B7" s="32">
        <f>MAX(Transactions!E2:E11)</f>
        <v>15000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3E6A-DB34-4BC5-95B3-31DC18F10820}">
  <dimension ref="A1:E16"/>
  <sheetViews>
    <sheetView workbookViewId="0">
      <selection activeCell="L10" sqref="L10"/>
    </sheetView>
  </sheetViews>
  <sheetFormatPr defaultRowHeight="14.4"/>
  <cols>
    <col min="1" max="1" width="11.5546875" customWidth="1"/>
    <col min="2" max="2" width="15.77734375" customWidth="1"/>
    <col min="3" max="3" width="17.109375" customWidth="1"/>
    <col min="4" max="4" width="14.33203125" customWidth="1"/>
  </cols>
  <sheetData>
    <row r="1" spans="1:5">
      <c r="A1" s="36" t="s">
        <v>0</v>
      </c>
      <c r="B1" s="36" t="s">
        <v>119</v>
      </c>
      <c r="C1" s="36" t="s">
        <v>112</v>
      </c>
      <c r="D1" s="36" t="s">
        <v>124</v>
      </c>
      <c r="E1" s="36" t="s">
        <v>125</v>
      </c>
    </row>
    <row r="2" spans="1:5">
      <c r="A2" s="45">
        <v>1001</v>
      </c>
      <c r="B2" s="45" t="str">
        <f>VLOOKUP(A2,Investors!A:B,2,FALSE)</f>
        <v>Kumar Utkarsh</v>
      </c>
      <c r="C2" s="47">
        <f>SUMIF(Transactions!B:B,A2,Transactions!E:E)</f>
        <v>5000</v>
      </c>
      <c r="D2" s="46">
        <f>C2/$C$12</f>
        <v>6.1728395061728392E-2</v>
      </c>
      <c r="E2" s="45">
        <f>RANK(C2,$C$2:$C$11,0)</f>
        <v>8</v>
      </c>
    </row>
    <row r="3" spans="1:5">
      <c r="A3" s="45">
        <v>1002</v>
      </c>
      <c r="B3" s="45" t="str">
        <f>VLOOKUP(A3,Investors!A:B,2,FALSE)</f>
        <v>Rahul Sharma</v>
      </c>
      <c r="C3" s="47">
        <f>SUMIF(Transactions!B:B,A3,Transactions!E:E)</f>
        <v>10000</v>
      </c>
      <c r="D3" s="46">
        <f t="shared" ref="D3:D11" si="0">C3/$C$12</f>
        <v>0.12345679012345678</v>
      </c>
      <c r="E3" s="45">
        <f t="shared" ref="E3:E11" si="1">RANK(C3,$C$2:$C$11,0)</f>
        <v>3</v>
      </c>
    </row>
    <row r="4" spans="1:5">
      <c r="A4" s="45">
        <v>1003</v>
      </c>
      <c r="B4" s="45" t="str">
        <f>VLOOKUP(A4,Investors!A:B,2,FALSE)</f>
        <v>Aman Verma</v>
      </c>
      <c r="C4" s="47">
        <f>SUMIF(Transactions!B:B,A4,Transactions!E:E)</f>
        <v>3000</v>
      </c>
      <c r="D4" s="46">
        <f t="shared" si="0"/>
        <v>3.7037037037037035E-2</v>
      </c>
      <c r="E4" s="45">
        <f t="shared" si="1"/>
        <v>10</v>
      </c>
    </row>
    <row r="5" spans="1:5">
      <c r="A5" s="45">
        <v>1004</v>
      </c>
      <c r="B5" s="45" t="str">
        <f>VLOOKUP(A5,Investors!A:B,2,FALSE)</f>
        <v>Priya Singh</v>
      </c>
      <c r="C5" s="47">
        <f>SUMIF(Transactions!B:B,A5,Transactions!E:E)</f>
        <v>15000</v>
      </c>
      <c r="D5" s="46">
        <f t="shared" si="0"/>
        <v>0.18518518518518517</v>
      </c>
      <c r="E5" s="45">
        <f t="shared" si="1"/>
        <v>1</v>
      </c>
    </row>
    <row r="6" spans="1:5">
      <c r="A6" s="45">
        <v>1005</v>
      </c>
      <c r="B6" s="45" t="str">
        <f>VLOOKUP(A6,Investors!A:B,2,FALSE)</f>
        <v>Sneha Gupta</v>
      </c>
      <c r="C6" s="47">
        <f>SUMIF(Transactions!B:B,A6,Transactions!E:E)</f>
        <v>8000</v>
      </c>
      <c r="D6" s="46">
        <f t="shared" si="0"/>
        <v>9.8765432098765427E-2</v>
      </c>
      <c r="E6" s="45">
        <f t="shared" si="1"/>
        <v>5</v>
      </c>
    </row>
    <row r="7" spans="1:5">
      <c r="A7" s="45">
        <v>1006</v>
      </c>
      <c r="B7" s="45" t="str">
        <f>VLOOKUP(A7,Investors!A:B,2,FALSE)</f>
        <v>Rohit Kumar</v>
      </c>
      <c r="C7" s="47">
        <f>SUMIF(Transactions!B:B,A7,Transactions!E:E)</f>
        <v>6000</v>
      </c>
      <c r="D7" s="46">
        <f t="shared" si="0"/>
        <v>7.407407407407407E-2</v>
      </c>
      <c r="E7" s="45">
        <f t="shared" si="1"/>
        <v>7</v>
      </c>
    </row>
    <row r="8" spans="1:5">
      <c r="A8" s="45">
        <v>1007</v>
      </c>
      <c r="B8" s="45" t="str">
        <f>VLOOKUP(A8,Investors!A:B,2,FALSE)</f>
        <v>Anjali Mishra</v>
      </c>
      <c r="C8" s="47">
        <f>SUMIF(Transactions!B:B,A8,Transactions!E:E)</f>
        <v>12000</v>
      </c>
      <c r="D8" s="46">
        <f t="shared" si="0"/>
        <v>0.14814814814814814</v>
      </c>
      <c r="E8" s="45">
        <f t="shared" si="1"/>
        <v>2</v>
      </c>
    </row>
    <row r="9" spans="1:5">
      <c r="A9" s="45">
        <v>1008</v>
      </c>
      <c r="B9" s="45" t="str">
        <f>VLOOKUP(A9,Investors!A:B,2,FALSE)</f>
        <v>Keshav Anand</v>
      </c>
      <c r="C9" s="47">
        <f>SUMIF(Transactions!B:B,A9,Transactions!E:E)</f>
        <v>10000</v>
      </c>
      <c r="D9" s="46">
        <f t="shared" si="0"/>
        <v>0.12345679012345678</v>
      </c>
      <c r="E9" s="45">
        <f t="shared" si="1"/>
        <v>3</v>
      </c>
    </row>
    <row r="10" spans="1:5">
      <c r="A10" s="45">
        <v>1009</v>
      </c>
      <c r="B10" s="45" t="str">
        <f>VLOOKUP(A10,Investors!A:B,2,FALSE)</f>
        <v>Vivek Sinha</v>
      </c>
      <c r="C10" s="47">
        <f>SUMIF(Transactions!B:B,A10,Transactions!E:E)</f>
        <v>5000</v>
      </c>
      <c r="D10" s="46">
        <f t="shared" si="0"/>
        <v>6.1728395061728392E-2</v>
      </c>
      <c r="E10" s="45">
        <f t="shared" si="1"/>
        <v>8</v>
      </c>
    </row>
    <row r="11" spans="1:5">
      <c r="A11" s="45">
        <v>1010</v>
      </c>
      <c r="B11" s="45" t="str">
        <f>VLOOKUP(A11,Investors!A:B,2,FALSE)</f>
        <v>Neha Kapoor</v>
      </c>
      <c r="C11" s="47">
        <f>SUMIF(Transactions!B:B,A11,Transactions!E:E)</f>
        <v>7000</v>
      </c>
      <c r="D11" s="46">
        <f t="shared" si="0"/>
        <v>8.6419753086419748E-2</v>
      </c>
      <c r="E11" s="45">
        <f t="shared" si="1"/>
        <v>6</v>
      </c>
    </row>
    <row r="12" spans="1:5">
      <c r="A12" s="35"/>
      <c r="B12" s="44" t="s">
        <v>112</v>
      </c>
      <c r="C12" s="48">
        <f>SUM(C2:C11)</f>
        <v>81000</v>
      </c>
      <c r="D12" s="35"/>
      <c r="E12" s="35"/>
    </row>
    <row r="16" spans="1:5">
      <c r="C16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AE89-52F0-451D-99C8-848A85167362}">
  <dimension ref="A1:C12"/>
  <sheetViews>
    <sheetView tabSelected="1" workbookViewId="0">
      <selection activeCell="C12" sqref="C12"/>
    </sheetView>
  </sheetViews>
  <sheetFormatPr defaultRowHeight="14.4"/>
  <cols>
    <col min="1" max="1" width="8.88671875" customWidth="1"/>
    <col min="2" max="2" width="35.109375" customWidth="1"/>
    <col min="3" max="3" width="17.109375" customWidth="1"/>
  </cols>
  <sheetData>
    <row r="1" spans="1:3" ht="14.4" customHeight="1">
      <c r="A1" s="22" t="s">
        <v>87</v>
      </c>
      <c r="B1" s="22" t="s">
        <v>120</v>
      </c>
      <c r="C1" s="22" t="s">
        <v>112</v>
      </c>
    </row>
    <row r="2" spans="1:3">
      <c r="A2" s="2">
        <v>2001</v>
      </c>
      <c r="B2" s="22" t="str">
        <f>VLOOKUP(A2,MutualFunds!A:B,2,FALSE)</f>
        <v>SBI Bluechip Fund</v>
      </c>
      <c r="C2" s="38">
        <f>SUMIF(Transactions!C:C,A2,Transactions!E:E)</f>
        <v>5000</v>
      </c>
    </row>
    <row r="3" spans="1:3">
      <c r="A3" s="2">
        <v>2002</v>
      </c>
      <c r="B3" s="22" t="str">
        <f>VLOOKUP(A3,MutualFunds!A:B,2,FALSE)</f>
        <v>SBI Small Cap Fund</v>
      </c>
      <c r="C3" s="38">
        <f>SUMIF(Transactions!C:C,A3,Transactions!E:E)</f>
        <v>8000</v>
      </c>
    </row>
    <row r="4" spans="1:3">
      <c r="A4" s="2">
        <v>2003</v>
      </c>
      <c r="B4" s="22" t="str">
        <f>VLOOKUP(A4,MutualFunds!A:B,2,FALSE)</f>
        <v>HDFC Flexi Cap Fund</v>
      </c>
      <c r="C4" s="38">
        <f>SUMIF(Transactions!C:C,A4,Transactions!E:E)</f>
        <v>10000</v>
      </c>
    </row>
    <row r="5" spans="1:3">
      <c r="A5" s="2">
        <v>2004</v>
      </c>
      <c r="B5" s="22" t="str">
        <f>VLOOKUP(A5,MutualFunds!A:B,2,FALSE)</f>
        <v>ICICI Prudential Bluechip Fund</v>
      </c>
      <c r="C5" s="38">
        <f>SUMIF(Transactions!C:C,A5,Transactions!E:E)</f>
        <v>10000</v>
      </c>
    </row>
    <row r="6" spans="1:3">
      <c r="A6" s="2">
        <v>2005</v>
      </c>
      <c r="B6" s="22" t="str">
        <f>VLOOKUP(A6,MutualFunds!A:B,2,FALSE)</f>
        <v>Nippon India Large Cap Fund</v>
      </c>
      <c r="C6" s="38">
        <f>SUMIF(Transactions!C:C,A6,Transactions!E:E)</f>
        <v>6000</v>
      </c>
    </row>
    <row r="7" spans="1:3">
      <c r="A7" s="2">
        <v>2006</v>
      </c>
      <c r="B7" s="22" t="str">
        <f>VLOOKUP(A7,MutualFunds!A:B,2,FALSE)</f>
        <v>Axis ELSS Tax Saver Fund</v>
      </c>
      <c r="C7" s="38">
        <f>SUMIF(Transactions!C:C,A7,Transactions!E:E)</f>
        <v>3000</v>
      </c>
    </row>
    <row r="8" spans="1:3">
      <c r="A8" s="2">
        <v>2007</v>
      </c>
      <c r="B8" s="22" t="str">
        <f>VLOOKUP(A8,MutualFunds!A:B,2,FALSE)</f>
        <v>HDFC Corporate Bond Fund</v>
      </c>
      <c r="C8" s="38">
        <f>SUMIF(Transactions!C:C,A8,Transactions!E:E)</f>
        <v>12000</v>
      </c>
    </row>
    <row r="9" spans="1:3" ht="22.8" customHeight="1">
      <c r="A9" s="2">
        <v>2008</v>
      </c>
      <c r="B9" s="22" t="str">
        <f>VLOOKUP(A9,MutualFunds!A:B,2,FALSE)</f>
        <v>ICICI Prudential Balanced Advantage Fund</v>
      </c>
      <c r="C9" s="38">
        <f>SUMIF(Transactions!C:C,A9,Transactions!E:E)</f>
        <v>15000</v>
      </c>
    </row>
    <row r="10" spans="1:3">
      <c r="A10" s="2">
        <v>2009</v>
      </c>
      <c r="B10" s="22" t="str">
        <f>VLOOKUP(A10,MutualFunds!A:B,2,FALSE)</f>
        <v>Nippon India Index Fund</v>
      </c>
      <c r="C10" s="38">
        <f>SUMIF(Transactions!C:C,A10,Transactions!E:E)</f>
        <v>5000</v>
      </c>
    </row>
    <row r="11" spans="1:3">
      <c r="A11" s="2">
        <v>2010</v>
      </c>
      <c r="B11" s="22" t="str">
        <f>VLOOKUP(A11,MutualFunds!A:B,2,FALSE)</f>
        <v>Axis Hybrid Fund</v>
      </c>
      <c r="C11" s="38">
        <f>SUMIF(Transactions!C:C,A11,Transactions!E:E)</f>
        <v>7000</v>
      </c>
    </row>
    <row r="12" spans="1:3">
      <c r="A12" s="22"/>
      <c r="B12" s="43" t="s">
        <v>112</v>
      </c>
      <c r="C12" s="49">
        <f>SUM(C2:C11)</f>
        <v>81000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7ED6-FC45-495D-870F-855C3C31BBE4}">
  <dimension ref="A1:C7"/>
  <sheetViews>
    <sheetView workbookViewId="0">
      <selection activeCell="B11" sqref="B11"/>
    </sheetView>
  </sheetViews>
  <sheetFormatPr defaultRowHeight="14.4"/>
  <cols>
    <col min="2" max="2" width="27" customWidth="1"/>
    <col min="3" max="3" width="17.109375" customWidth="1"/>
  </cols>
  <sheetData>
    <row r="1" spans="1:3" ht="14.4" customHeight="1">
      <c r="A1" s="22" t="s">
        <v>55</v>
      </c>
      <c r="B1" s="22" t="s">
        <v>121</v>
      </c>
      <c r="C1" s="22" t="s">
        <v>112</v>
      </c>
    </row>
    <row r="2" spans="1:3">
      <c r="A2" s="22">
        <v>101</v>
      </c>
      <c r="B2" s="22" t="str">
        <f>VLOOKUP(A2,AMC!A:B,2,FALSE)</f>
        <v>SBI Mutual Fund</v>
      </c>
      <c r="C2" s="22">
        <f>SUMIF(MutualFunds!C:C,A2,MutualFunds!J:J)</f>
        <v>13000</v>
      </c>
    </row>
    <row r="3" spans="1:3">
      <c r="A3" s="22">
        <v>102</v>
      </c>
      <c r="B3" s="22" t="str">
        <f>VLOOKUP(A3,AMC!A:B,2,FALSE)</f>
        <v>HDFC Mutual Fund</v>
      </c>
      <c r="C3" s="22">
        <f>SUMIF(MutualFunds!C:C,A3,MutualFunds!J:J)</f>
        <v>22000</v>
      </c>
    </row>
    <row r="4" spans="1:3">
      <c r="A4" s="22">
        <v>103</v>
      </c>
      <c r="B4" s="22" t="str">
        <f>VLOOKUP(A4,AMC!A:B,2,FALSE)</f>
        <v>ICICI Prudential Mutual Fund</v>
      </c>
      <c r="C4" s="22">
        <f>SUMIF(MutualFunds!C:C,A4,MutualFunds!J:J)</f>
        <v>25000</v>
      </c>
    </row>
    <row r="5" spans="1:3">
      <c r="A5" s="22">
        <v>104</v>
      </c>
      <c r="B5" s="22" t="str">
        <f>VLOOKUP(A5,AMC!A:B,2,FALSE)</f>
        <v>Nippon India Mutual Fund</v>
      </c>
      <c r="C5" s="22">
        <f>SUMIF(MutualFunds!C:C,A5,MutualFunds!J:J)</f>
        <v>11000</v>
      </c>
    </row>
    <row r="6" spans="1:3">
      <c r="A6" s="22">
        <v>105</v>
      </c>
      <c r="B6" s="22" t="str">
        <f>VLOOKUP(A6,AMC!A:B,2,FALSE)</f>
        <v>Axis Mutual Fund</v>
      </c>
      <c r="C6" s="22">
        <f>SUMIF(MutualFunds!C:C,A6,MutualFunds!J:J)</f>
        <v>10000</v>
      </c>
    </row>
    <row r="7" spans="1:3">
      <c r="A7" s="43" t="s">
        <v>122</v>
      </c>
      <c r="B7" s="22"/>
      <c r="C7" s="22">
        <f>SUM(C2:C6)</f>
        <v>81000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4E17-4ABC-4B28-9F7C-4689FC8134C5}">
  <dimension ref="A1:H4"/>
  <sheetViews>
    <sheetView zoomScale="64" workbookViewId="0">
      <selection activeCell="H3" sqref="H3"/>
    </sheetView>
  </sheetViews>
  <sheetFormatPr defaultRowHeight="14.4"/>
  <cols>
    <col min="1" max="1" width="33.5546875" customWidth="1"/>
    <col min="2" max="2" width="12.6640625" customWidth="1"/>
    <col min="3" max="3" width="18.77734375" customWidth="1"/>
    <col min="4" max="4" width="17.77734375" customWidth="1"/>
    <col min="5" max="5" width="18.109375" customWidth="1"/>
    <col min="7" max="7" width="15.5546875" customWidth="1"/>
    <col min="8" max="8" width="20.21875" customWidth="1"/>
  </cols>
  <sheetData>
    <row r="1" spans="1:8" ht="23.4">
      <c r="A1" s="30" t="s">
        <v>135</v>
      </c>
      <c r="B1" s="30"/>
      <c r="C1" s="30"/>
      <c r="D1" s="30"/>
      <c r="E1" s="30"/>
      <c r="F1" s="30"/>
      <c r="G1" s="30"/>
      <c r="H1" s="30"/>
    </row>
    <row r="3" spans="1:8" ht="34.950000000000003" customHeight="1">
      <c r="A3" s="25" t="s">
        <v>109</v>
      </c>
      <c r="B3" s="25">
        <f>Excel_Analysis!B2</f>
        <v>10</v>
      </c>
      <c r="C3" s="25" t="s">
        <v>110</v>
      </c>
      <c r="D3" s="25">
        <f>Excel_Analysis!B3</f>
        <v>10</v>
      </c>
      <c r="E3" s="25" t="s">
        <v>111</v>
      </c>
      <c r="F3" s="25">
        <f>Excel_Analysis!B4</f>
        <v>10</v>
      </c>
      <c r="G3" s="25" t="s">
        <v>112</v>
      </c>
      <c r="H3" s="29">
        <f>Excel_Analysis!B5</f>
        <v>81000</v>
      </c>
    </row>
    <row r="4" spans="1:8">
      <c r="A4" s="25" t="s">
        <v>113</v>
      </c>
      <c r="B4" s="26">
        <f>Excel_Analysis!B6</f>
        <v>8100</v>
      </c>
      <c r="C4" s="27" t="s">
        <v>114</v>
      </c>
      <c r="D4" s="28">
        <f>Excel_Analysis!B7</f>
        <v>15000</v>
      </c>
      <c r="E4" s="27"/>
      <c r="F4" s="27"/>
      <c r="G4" s="27"/>
      <c r="H4" s="27"/>
    </row>
  </sheetData>
  <mergeCells count="1">
    <mergeCell ref="A1:H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6182-56CF-4F55-84D6-5DE357958519}">
  <dimension ref="A1:C4"/>
  <sheetViews>
    <sheetView workbookViewId="0">
      <selection activeCell="C15" sqref="C15"/>
    </sheetView>
  </sheetViews>
  <sheetFormatPr defaultRowHeight="14.4"/>
  <cols>
    <col min="1" max="1" width="18.5546875" customWidth="1"/>
    <col min="2" max="2" width="23" customWidth="1"/>
    <col min="3" max="3" width="14.44140625" customWidth="1"/>
  </cols>
  <sheetData>
    <row r="1" spans="1:3" ht="14.4" customHeight="1">
      <c r="A1" s="22" t="s">
        <v>126</v>
      </c>
      <c r="B1" s="22" t="s">
        <v>127</v>
      </c>
      <c r="C1" s="22" t="s">
        <v>130</v>
      </c>
    </row>
    <row r="2" spans="1:3">
      <c r="A2" s="2" t="s">
        <v>107</v>
      </c>
      <c r="B2" s="2">
        <f>COUNTIF(Transactions!D:D,A2)</f>
        <v>10</v>
      </c>
      <c r="C2" s="37">
        <f>SUM(Transactions!E2:E11)</f>
        <v>81000</v>
      </c>
    </row>
    <row r="3" spans="1:3">
      <c r="A3" s="2" t="s">
        <v>128</v>
      </c>
      <c r="B3" s="2">
        <f>COUNTIF(Transactions!D:D,A3)</f>
        <v>0</v>
      </c>
      <c r="C3" s="37">
        <f>AVERAGE(Transactions!E2:E11)</f>
        <v>8100</v>
      </c>
    </row>
    <row r="4" spans="1:3">
      <c r="A4" s="2" t="s">
        <v>129</v>
      </c>
      <c r="B4" s="2">
        <f>COUNTIF(Transactions!D:D,A4)</f>
        <v>0</v>
      </c>
      <c r="C4" s="37">
        <f>MAX(Transactions!E2:E11)</f>
        <v>15000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078A-6620-4993-BFF2-00A1BC1FDEB1}">
  <dimension ref="A1:C7"/>
  <sheetViews>
    <sheetView workbookViewId="0">
      <selection activeCell="C7" sqref="C7"/>
    </sheetView>
  </sheetViews>
  <sheetFormatPr defaultRowHeight="14.4"/>
  <cols>
    <col min="1" max="1" width="12.77734375" customWidth="1"/>
    <col min="2" max="2" width="16.33203125" customWidth="1"/>
    <col min="3" max="3" width="17.33203125" customWidth="1"/>
  </cols>
  <sheetData>
    <row r="1" spans="1:3">
      <c r="A1" s="23" t="s">
        <v>70</v>
      </c>
      <c r="B1" s="23" t="s">
        <v>123</v>
      </c>
      <c r="C1" s="23" t="s">
        <v>112</v>
      </c>
    </row>
    <row r="2" spans="1:3">
      <c r="A2" s="40">
        <v>1</v>
      </c>
      <c r="B2" s="23" t="str">
        <f>VLOOKUP(A2,FundCategory!A:B,2,FALSE)</f>
        <v>Equity</v>
      </c>
      <c r="C2" s="39">
        <f>SUMIF(MutualFunds!D:D,A2,MutualFunds!J:J)</f>
        <v>39000</v>
      </c>
    </row>
    <row r="3" spans="1:3">
      <c r="A3" s="40">
        <v>2</v>
      </c>
      <c r="B3" s="23" t="str">
        <f>VLOOKUP(A3,FundCategory!A:B,2,FALSE)</f>
        <v>Debt</v>
      </c>
      <c r="C3" s="39">
        <f>SUMIF(MutualFunds!D:D,A3,MutualFunds!J:J)</f>
        <v>12000</v>
      </c>
    </row>
    <row r="4" spans="1:3">
      <c r="A4" s="40">
        <v>3</v>
      </c>
      <c r="B4" s="23" t="str">
        <f>VLOOKUP(A4,FundCategory!A:B,2,FALSE)</f>
        <v>Hybrid</v>
      </c>
      <c r="C4" s="39">
        <f>SUMIF(MutualFunds!D:D,A4,MutualFunds!J:J)</f>
        <v>22000</v>
      </c>
    </row>
    <row r="5" spans="1:3">
      <c r="A5" s="40">
        <v>4</v>
      </c>
      <c r="B5" s="23" t="str">
        <f>VLOOKUP(A5,FundCategory!A:B,2,FALSE)</f>
        <v>Index</v>
      </c>
      <c r="C5" s="39">
        <f>SUMIF(MutualFunds!D:D,A5,MutualFunds!J:J)</f>
        <v>5000</v>
      </c>
    </row>
    <row r="6" spans="1:3">
      <c r="A6" s="40">
        <v>5</v>
      </c>
      <c r="B6" s="23" t="str">
        <f>VLOOKUP(A6,FundCategory!A:B,2,FALSE)</f>
        <v>ELSS</v>
      </c>
      <c r="C6" s="39">
        <f>SUMIF(MutualFunds!D:D,A6,MutualFunds!J:J)</f>
        <v>3000</v>
      </c>
    </row>
    <row r="7" spans="1:3">
      <c r="A7" s="41" t="s">
        <v>122</v>
      </c>
      <c r="B7" s="23"/>
      <c r="C7" s="42">
        <f>SUM(C2:C6)</f>
        <v>81000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Investors</vt:lpstr>
      <vt:lpstr>AMC</vt:lpstr>
      <vt:lpstr>FundCategory</vt:lpstr>
      <vt:lpstr>Pivot_Category</vt:lpstr>
      <vt:lpstr>MutualFunds</vt:lpstr>
      <vt:lpstr>Pivot_Investor</vt:lpstr>
      <vt:lpstr>Pivot_Fund</vt:lpstr>
      <vt:lpstr>Pivot_TransactionType</vt:lpstr>
      <vt:lpstr>Transactions</vt:lpstr>
      <vt:lpstr>Excel_Analysis</vt:lpstr>
      <vt:lpstr>Investor_Analysis</vt:lpstr>
      <vt:lpstr>Fund_Analysis</vt:lpstr>
      <vt:lpstr>AMC_Analysis</vt:lpstr>
      <vt:lpstr>Dashboard</vt:lpstr>
      <vt:lpstr>Transaction_Analysis</vt:lpstr>
      <vt:lpstr>Category_Analysis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aakriti kumari</dc:creator>
  <cp:lastModifiedBy>aakriti kumari</cp:lastModifiedBy>
  <dcterms:created xsi:type="dcterms:W3CDTF">2026-08-19T10:08:08Z</dcterms:created>
  <dcterms:modified xsi:type="dcterms:W3CDTF">2026-08-19T22:14:07Z</dcterms:modified>
</cp:coreProperties>
</file>